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fa30e0bb14c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Planner" sheetId="1" r:id="R12b66aec4df54c7e"/>
    <x:sheet xmlns:r="http://schemas.openxmlformats.org/officeDocument/2006/relationships" name="Category Summary" sheetId="2" r:id="R3e10c49fd72d40bd"/>
    <x:sheet xmlns:r="http://schemas.openxmlformats.org/officeDocument/2006/relationships" name="How to Use" sheetId="3" r:id="Rc7193365a6f040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5B331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3F4F6"/>
        </x:patternFill>
      </x:fill>
    </x:dxf>
    <x:dxf>
      <x:fill>
        <x:patternFill patternType="solid">
          <x:bgColor rgb="E0F2FE"/>
        </x:patternFill>
      </x:fill>
    </x:dxf>
    <x:dxf>
      <x:fill>
        <x:patternFill patternType="solid">
          <x:bgColor rgb="FCE7F3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242a2f90c4ea3" /><Relationship Type="http://schemas.openxmlformats.org/officeDocument/2006/relationships/theme" Target="/xl/theme/theme1.xml" Id="R18998438ece3420e" /><Relationship Type="http://schemas.openxmlformats.org/officeDocument/2006/relationships/sharedStrings" Target="/xl/sharedStrings.xml" Id="R262164c4fc524ffc" /><Relationship Type="http://schemas.openxmlformats.org/officeDocument/2006/relationships/worksheet" Target="/xl/worksheets/sheet1.xml" Id="R12b66aec4df54c7e" /><Relationship Type="http://schemas.openxmlformats.org/officeDocument/2006/relationships/worksheet" Target="/xl/worksheets/sheet2.xml" Id="R3e10c49fd72d40bd" /><Relationship Type="http://schemas.openxmlformats.org/officeDocument/2006/relationships/worksheet" Target="/xl/worksheets/sheet3.xml" Id="Rc7193365a6f0402b" /></Relationships>
</file>

<file path=xl/tables/table1.xml><?xml version="1.0" encoding="utf-8"?>
<x:table xmlns:x="http://schemas.openxmlformats.org/spreadsheetml/2006/main" id="1" name="ProductPlannerTable" displayName="ProductPlannerTable" ref="A1:U57" headerRowCount="1">
  <x:tableColumns count="21">
    <x:tableColumn id="1" name="ID"/>
    <x:tableColumn id="2" name="Main Category"/>
    <x:tableColumn id="3" name="Product Type"/>
    <x:tableColumn id="4" name="Estimated Price Tier"/>
    <x:tableColumn id="5" name="Tier Confidence"/>
    <x:tableColumn id="6" name="Priority"/>
    <x:tableColumn id="7" name="Best For"/>
    <x:tableColumn id="8" name="Key Identifiers / Features from Title"/>
    <x:tableColumn id="9" name="Blog Angle"/>
    <x:tableColumn id="10" name="Suggested Blog Post"/>
    <x:tableColumn id="11" name="Suggested AffiliateX Display Name"/>
    <x:tableColumn id="12" name="Suggested CTA"/>
    <x:tableColumn id="13" name="Cautions / Verify Before Publishing"/>
    <x:tableColumn id="14" name="SEO Keywords"/>
    <x:tableColumn id="15" name="Short Affiliate Link"/>
    <x:tableColumn id="16" name="ASIN"/>
    <x:tableColumn id="17" name="Amazon Search Keyword"/>
    <x:tableColumn id="18" name="Sponsored Search Result?"/>
    <x:tableColumn id="19" name="Amazon Title Provided"/>
    <x:tableColumn id="20" name="Long Affiliate Link"/>
    <x:tableColumn id="21" name="Evidence Used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A1:E15" headerRowCount="1">
  <x:tableColumns count="5">
    <x:tableColumn id="1" name="Main Category"/>
    <x:tableColumn id="2" name="Product Count"/>
    <x:tableColumn id="3" name="High Priority Count"/>
    <x:tableColumn id="4" name="Suggested Primary Blog Post"/>
    <x:tableColumn id="5" name="Use First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67bb85474a4c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52e3b8b9ce4f63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6" hidden="0" customWidth="1"/>
    <x:col min="4" max="4" width="22" hidden="0" customWidth="1"/>
    <x:col min="5" max="5" width="16" hidden="0" customWidth="1"/>
    <x:col min="6" max="6" width="12" hidden="0" customWidth="1"/>
    <x:col min="7" max="7" width="32" hidden="0" customWidth="1"/>
    <x:col min="8" max="8" width="42" hidden="0" customWidth="1"/>
    <x:col min="9" max="9" width="42" hidden="0" customWidth="1"/>
    <x:col min="10" max="10" width="34" hidden="0" customWidth="1"/>
    <x:col min="11" max="11" width="42" hidden="0" customWidth="1"/>
    <x:col min="12" max="12" width="14" hidden="0" customWidth="1"/>
    <x:col min="13" max="13" width="48" hidden="0" customWidth="1"/>
    <x:col min="14" max="14" width="36" hidden="0" customWidth="1"/>
    <x:col min="15" max="15" width="24" hidden="0" customWidth="1"/>
    <x:col min="16" max="16" width="13" hidden="0" customWidth="1"/>
    <x:col min="17" max="17" width="22" hidden="0" customWidth="1"/>
    <x:col min="18" max="18" width="16" hidden="0" customWidth="1"/>
    <x:col min="19" max="19" width="54" hidden="0" customWidth="1"/>
    <x:col min="20" max="20" width="52" hidden="0" customWidth="1"/>
    <x:col min="21" max="21" width="38" hidden="0" customWidth="1"/>
  </x:cols>
  <x:sheetData>
    <x:row r="1" ht="38" customHeight="1">
      <x:c r="A1" s="6" t="str">
        <x:v>ID</x:v>
      </x:c>
      <x:c r="B1" s="6" t="str">
        <x:v>Main Category</x:v>
      </x:c>
      <x:c r="C1" s="6" t="str">
        <x:v>Product Type</x:v>
      </x:c>
      <x:c r="D1" s="6" t="str">
        <x:v>Estimated Price Tier</x:v>
      </x:c>
      <x:c r="E1" s="6" t="str">
        <x:v>Tier Confidence</x:v>
      </x:c>
      <x:c r="F1" s="6" t="str">
        <x:v>Priority</x:v>
      </x:c>
      <x:c r="G1" s="6" t="str">
        <x:v>Best For</x:v>
      </x:c>
      <x:c r="H1" s="6" t="str">
        <x:v>Key Identifiers / Features from Title</x:v>
      </x:c>
      <x:c r="I1" s="6" t="str">
        <x:v>Blog Angle</x:v>
      </x:c>
      <x:c r="J1" s="6" t="str">
        <x:v>Suggested Blog Post</x:v>
      </x:c>
      <x:c r="K1" s="6" t="str">
        <x:v>Suggested AffiliateX Display Name</x:v>
      </x:c>
      <x:c r="L1" s="6" t="str">
        <x:v>Suggested CTA</x:v>
      </x:c>
      <x:c r="M1" s="6" t="str">
        <x:v>Cautions / Verify Before Publishing</x:v>
      </x:c>
      <x:c r="N1" s="6" t="str">
        <x:v>SEO Keywords</x:v>
      </x:c>
      <x:c r="O1" s="6" t="str">
        <x:v>Short Affiliate Link</x:v>
      </x:c>
      <x:c r="P1" s="6" t="str">
        <x:v>ASIN</x:v>
      </x:c>
      <x:c r="Q1" s="6" t="str">
        <x:v>Amazon Search Keyword</x:v>
      </x:c>
      <x:c r="R1" s="6" t="str">
        <x:v>Sponsored Search Result?</x:v>
      </x:c>
      <x:c r="S1" s="6" t="str">
        <x:v>Amazon Title Provided</x:v>
      </x:c>
      <x:c r="T1" s="6" t="str">
        <x:v>Long Affiliate Link</x:v>
      </x:c>
      <x:c r="U1" s="6" t="str">
        <x:v>Evidence Used</x:v>
      </x:c>
    </x:row>
    <x:row r="2">
      <x:c r="A2" s="14" t="n">
        <x:v>1</x:v>
      </x:c>
      <x:c r="B2" s="14" t="str">
        <x:v>Coffee Grinders</x:v>
      </x:c>
      <x:c r="C2" s="14" t="str">
        <x:v>Electric burr grinder</x:v>
      </x:c>
      <x:c r="D2" s="14" t="str">
        <x:v>Mid-to-premium estimate</x:v>
      </x:c>
      <x:c r="E2" s="14" t="str">
        <x:v>Low</x:v>
      </x:c>
      <x:c r="F2" s="14" t="str">
        <x:v>High</x:v>
      </x:c>
      <x:c r="G2" s="14" t="str">
        <x:v>Travel, camping, office, or small-space setups</x:v>
      </x:c>
      <x:c r="H2" s="14" t="str">
        <x:v>ceramic burr; portable; travel/camping</x:v>
      </x:c>
      <x:c r="I2" s="14" t="str">
        <x:v>Position as a travel/small-space coffee upgrade.</x:v>
      </x:c>
      <x:c r="J2" s="14" t="str">
        <x:v>Best Coffee Grinders for Beginners</x:v>
      </x:c>
      <x:c r="K2" s="14" t="str">
        <x:v>Caldwell Portable Electric Coffee Grinder – USB Rechargeable Ceramic Burr Mill for Espresso to ...</x:v>
      </x:c>
      <x:c r="L2" s="14" t="str">
        <x:v>View on Amazon</x:v>
      </x:c>
      <x:c r="M2" s="14" t="str">
        <x:v>Verify current Amazon price, reviews, availability, and exact specs before publishing.</x:v>
      </x:c>
      <x:c r="N2" s="14" t="str">
        <x:v>best coffee grinder for beginners, manual coffee grinder, electric burr grinder</x:v>
      </x:c>
      <x:c r="O2" s="14" t="str">
        <x:v>https://amzn.to/4dEbzZE</x:v>
      </x:c>
      <x:c r="P2" s="14" t="str">
        <x:v>B0FKPFDTK9</x:v>
      </x:c>
      <x:c r="Q2" s="14" t="str">
        <x:v>burr coffee grinder</x:v>
      </x:c>
      <x:c r="R2" s="14" t="str">
        <x:v>Yes</x:v>
      </x:c>
      <x:c r="S2" s="14" t="str">
        <x:v>Caldwell Portable Electric Coffee Grinder – USB Rechargeable Ceramic Burr Mill for Espresso to French Press – Automatic Coffee Bean Grinder for Travel, Camping &amp; Home – Black</x:v>
      </x:c>
      <x:c r="T2" s="14" t="str">
        <x:v>https://www.amazon.com/Caldwell-Kitchen-Portable-Electric-Grinder/dp/B0FKPFDTK9?crid=2PWWEMI3KX3N2&amp;dib=eyJ2IjoiMSJ9.l0F6mfWvSsZvS9T81nZWITEjeVu5Ct43Z5pInBdk-77cN7PNKiqIrfltz66yLDRiqUPa_KhvJaHb-4fpAR5PwYP65Lp3pBABjDFE-10LY-y77CArgk1aHE8TqDFbZ3zXLraZHVblsD3fBMrhX7LwkBk0QVsGc9NDuNgu0Y_18lCQqo_qkjqLuHtY9xkG644eX0scb7K7z5JfvrJ0qaxObC6fVnycA549OqOFjkTCBgt-hIKh5ju8TC7NXferhn4G5WN55WSog4bmDSwYZf08j1Rchvo14FIQRDSsWek2R68.Elcjy--LHjw-vlVm1dE2Apxmlvx40k1tfBQJnyLfKRw&amp;dib_tag=se&amp;keywords=burr+coffee+grinder&amp;qid=1778619929&amp;sprefix=burr+coffee+grinder%2Caps%2C215&amp;sr=8-3-spons&amp;sp_csd=d2lkZ2V0TmFtZT1zcF9hdGY&amp;psc=1&amp;linkCode=ll2&amp;tag=mobile07ee195-20&amp;linkId=29d9fd65791594e8e2a284788c24ffd8&amp;language=en_US&amp;ref_=as_li_ss_tl</x:v>
      </x:c>
      <x:c r="U2" s="14" t="str">
        <x:v>Amazon title/link supplied in uploaded file; no review claims added.</x:v>
      </x:c>
    </x:row>
    <x:row r="3">
      <x:c r="A3" s="14" t="n">
        <x:v>2</x:v>
      </x:c>
      <x:c r="B3" s="14" t="str">
        <x:v>Coffee Grinders</x:v>
      </x:c>
      <x:c r="C3" s="14" t="str">
        <x:v>Manual burr grinder</x:v>
      </x:c>
      <x:c r="D3" s="14" t="str">
        <x:v>Budget-to-mid estimate</x:v>
      </x:c>
      <x:c r="E3" s="14" t="str">
        <x:v>Low</x:v>
      </x:c>
      <x:c r="F3" s="14" t="str">
        <x:v>High</x:v>
      </x:c>
      <x:c r="G3" s="14" t="str">
        <x:v>Travel, camping, office, or small-space setups</x:v>
      </x:c>
      <x:c r="H3" s="14" t="str">
        <x:v>conical burr; 40 adjustable settings; 30g capacity; portable; travel/camping; office use</x:v>
      </x:c>
      <x:c r="I3" s="14" t="str">
        <x:v>Position as a travel/small-space coffee upgrade.</x:v>
      </x:c>
      <x:c r="J3" s="14" t="str">
        <x:v>Best Coffee Grinders for Beginners</x:v>
      </x:c>
      <x:c r="K3" s="14" t="str">
        <x:v>Mini Manual Coffee Grinder with 40 Adjustable Settings, Portable Hand Coffee Bean Mill with 30g...</x:v>
      </x:c>
      <x:c r="L3" s="14" t="str">
        <x:v>View on Amazon</x:v>
      </x:c>
      <x:c r="M3" s="14" t="str">
        <x:v>Verify current Amazon price, reviews, availability, and exact specs before publishing.</x:v>
      </x:c>
      <x:c r="N3" s="14" t="str">
        <x:v>best coffee grinder for beginners, manual coffee grinder, electric burr grinder</x:v>
      </x:c>
      <x:c r="O3" s="14" t="str">
        <x:v>https://amzn.to/3R4Ao8A</x:v>
      </x:c>
      <x:c r="P3" s="14" t="str">
        <x:v>B0DMZL1K3G</x:v>
      </x:c>
      <x:c r="Q3" s="14" t="str">
        <x:v>burr coffee grinder</x:v>
      </x:c>
      <x:c r="R3" s="14" t="str">
        <x:v>No</x:v>
      </x:c>
      <x:c r="S3" s="14" t="str">
        <x:v>Mini Manual Coffee Grinder with 40 Adjustable Settings, Portable Hand Coffee Bean Mill with 30g Capacity, Conical Burr Coffee Grinder with Crank for Travel, Camping, Office, Espresso, Pour Over, etc</x:v>
      </x:c>
      <x:c r="T3" s="14" t="str">
        <x:v>https://www.amazon.com/Adjustable-Settings-Portable-Capacity-Espresso/dp/B0DMZL1K3G?crid=1C1JMIL4GE6S6&amp;dib=eyJ2IjoiMSJ9.LPXiRKe9gjkq0nHGeu3Yo3pKt95WU5tv12HVhyrn63EGGTBGVI9ZPTbgR7t6lxNMLy2BVKJGFA1lnHJwSuSaUZGeBqFYPHP8FuyFKOZNf3Bg5AfaOkcY06_xhnKLVKHaVnm1-bGDjKW_F65hGvcAbp0YvbIHatbs5RQFLI1po1wv0yyfe8I74EH9__nqpbcmBgBjFfJUSQSxJBFu9G7MlknH_qkg0AKuVc_VAFmfJOydYjwljn6oIdZJyguQs0KbMQqufO9oLH373-NnA2cxqhj6ksiQdZQyw2THbhUMPdo.96fR7MZ9KkjFIvBkBYDmp2f_R9XRkc0Df17XVAx7xKA&amp;dib_tag=se&amp;keywords=burr%2Bcoffee%2Bgrinder&amp;qid=1778620429&amp;sprefix=burr%2Bcoffee%2Bgrinder%2Caps%2C349&amp;sr=8-8&amp;th=1&amp;linkCode=ll2&amp;tag=mobile07ee195-20&amp;linkId=4dd6b08fe9e096dd7395fd32cf8001c8&amp;language=en_US&amp;ref_=as_li_ss_tl</x:v>
      </x:c>
      <x:c r="U3" s="14" t="str">
        <x:v>Amazon title/link supplied in uploaded file; no review claims added.</x:v>
      </x:c>
    </x:row>
    <x:row r="4">
      <x:c r="A4" s="14" t="n">
        <x:v>3</x:v>
      </x:c>
      <x:c r="B4" s="14" t="str">
        <x:v>Coffee Grinders</x:v>
      </x:c>
      <x:c r="C4" s="14" t="str">
        <x:v>Manual burr grinder</x:v>
      </x:c>
      <x:c r="D4" s="14" t="str">
        <x:v>Budget-to-mid estimate</x:v>
      </x:c>
      <x:c r="E4" s="14" t="str">
        <x:v>Low</x:v>
      </x:c>
      <x:c r="F4" s="14" t="str">
        <x:v>High</x:v>
      </x:c>
      <x:c r="G4" s="14" t="str">
        <x:v>Travel, camping, office, or small-space setups</x:v>
      </x:c>
      <x:c r="H4" s="14" t="str">
        <x:v>conical burr; 40 external adjustable settings; portable; travel/camping</x:v>
      </x:c>
      <x:c r="I4" s="14" t="str">
        <x:v>Position as a travel/small-space coffee upgrade.</x:v>
      </x:c>
      <x:c r="J4" s="14" t="str">
        <x:v>Best Coffee Grinders for Beginners</x:v>
      </x:c>
      <x:c r="K4" s="14" t="str">
        <x:v>CIRCLE JOY Mini Manual Coffee Grinder with 40 External Adjustable Settings and Ceramic Conical ...</x:v>
      </x:c>
      <x:c r="L4" s="14" t="str">
        <x:v>View on Amazon</x:v>
      </x:c>
      <x:c r="M4" s="14" t="str">
        <x:v>Verify current Amazon price, reviews, availability, and exact specs before publishing.</x:v>
      </x:c>
      <x:c r="N4" s="14" t="str">
        <x:v>best coffee grinder for beginners, manual coffee grinder, electric burr grinder</x:v>
      </x:c>
      <x:c r="O4" s="14" t="str">
        <x:v>https://amzn.to/435BymK</x:v>
      </x:c>
      <x:c r="P4" s="14" t="str">
        <x:v>B0FL2WH8K1</x:v>
      </x:c>
      <x:c r="Q4" s="14" t="str">
        <x:v>burr coffee grinder</x:v>
      </x:c>
      <x:c r="R4" s="14" t="str">
        <x:v>Yes</x:v>
      </x:c>
      <x:c r="S4" s="14" t="str">
        <x:v>CIRCLE JOY Mini Manual Coffee Grinder with 40 External Adjustable Settings and Ceramic Conical Burr, Portable Stainless Steel Hand Coffee Grinder for Home and Travel</x:v>
      </x:c>
      <x:c r="T4" s="14" t="str">
        <x:v>https://www.amazon.com/CIRCLE-JOY-External-Adjustable-Stainless/dp/B0FL2WH8K1?crid=2PWWEMI3KX3N2&amp;dib=eyJ2IjoiMSJ9.l0F6mfWvSsZvS9T81nZWITEjeVu5Ct43Z5pInBdk-77cN7PNKiqIrfltz66yLDRiqUPa_KhvJaHb-4fpAR5PwYP65Lp3pBABjDFE-10LY-y77CArgk1aHE8TqDFbZ3zXLraZHVblsD3fBMrhX7LwkBk0QVsGc9NDuNgu0Y_18lCQqo_qkjqLuHtY9xkG644eX0scb7K7z5JfvrJ0qaxObC6fVnycA549OqOFjkTCBgt-hIKh5ju8TC7NXferhn4G5WN55WSog4bmDSwYZf08j1Rchvo14FIQRDSsWek2R68.Elcjy--LHjw-vlVm1dE2Apxmlvx40k1tfBQJnyLfKRw&amp;dib_tag=se&amp;keywords=burr%2Bcoffee%2Bgrinder&amp;qid=1778619929&amp;sprefix=burr%2Bcoffee%2Bgrinder%2Caps%2C215&amp;sr=8-2-spons&amp;sp_csd=d2lkZ2V0TmFtZT1zcF9hdGY&amp;th=1&amp;linkCode=ll2&amp;tag=mobile07ee195-20&amp;linkId=7157e2d4d9444e5aa0358c91ffd5149e&amp;language=en_US&amp;ref_=as_li_ss_tl</x:v>
      </x:c>
      <x:c r="U4" s="14" t="str">
        <x:v>Amazon title/link supplied in uploaded file; no review claims added.</x:v>
      </x:c>
    </x:row>
    <x:row r="5">
      <x:c r="A5" s="14" t="n">
        <x:v>4</x:v>
      </x:c>
      <x:c r="B5" s="14" t="str">
        <x:v>Coffee Grinders</x:v>
      </x:c>
      <x:c r="C5" s="14" t="str">
        <x:v>Blade grinder</x:v>
      </x:c>
      <x:c r="D5" s="14" t="str">
        <x:v>Budget estimate</x:v>
      </x:c>
      <x:c r="E5" s="14" t="str">
        <x:v>Low</x:v>
      </x:c>
      <x:c r="F5" s="14" t="str">
        <x:v>High</x:v>
      </x:c>
      <x:c r="G5" s="14" t="str">
        <x:v>General home coffee users</x:v>
      </x:c>
      <x:c r="H5" s="14" t="str">
        <x:v>blade grinder</x:v>
      </x:c>
      <x:c r="I5" s="14" t="str">
        <x:v>Use as the ultra-budget grinder option, but explain burr vs blade tradeoff.</x:v>
      </x:c>
      <x:c r="J5" s="14" t="str">
        <x:v>Best Coffee Grinders for Beginners</x:v>
      </x:c>
      <x:c r="K5" s="14" t="str">
        <x:v>Cuisinart DCG-12BC Grind Central Coffee Grinder, Blade, Silver</x:v>
      </x:c>
      <x:c r="L5" s="14" t="str">
        <x:v>View on Amazon</x:v>
      </x:c>
      <x:c r="M5" s="14" t="str">
        <x:v>Blade grinder; do not present as equivalent to burr grinders for grind consistency.</x:v>
      </x:c>
      <x:c r="N5" s="14" t="str">
        <x:v>best coffee grinder for beginners, manual coffee grinder, electric burr grinder</x:v>
      </x:c>
      <x:c r="O5" s="14" t="str">
        <x:v>https://amzn.to/42v4ZhW</x:v>
      </x:c>
      <x:c r="P5" s="14" t="str">
        <x:v>B0000A1ZN7</x:v>
      </x:c>
      <x:c r="Q5" s="14" t="str">
        <x:v>burr coffee grinder</x:v>
      </x:c>
      <x:c r="R5" s="14" t="str">
        <x:v>Yes</x:v>
      </x:c>
      <x:c r="S5" s="14" t="str">
        <x:v>Cuisinart DCG-12BC Grind Central Coffee Grinder, Blade, Silver</x:v>
      </x:c>
      <x:c r="T5" s="14" t="str">
        <x:v>https://www.amazon.com/Cuisinart-DCG-12BC-Central-Coffee-Grinder/dp/B0000A1ZN7?crid=2PWWEMI3KX3N2&amp;dib=eyJ2IjoiMSJ9.l0F6mfWvSsZvS9T81nZWITEjeVu5Ct43Z5pInBdk-77cN7PNKiqIrfltz66yLDRiqUPa_KhvJaHb-4fpAR5PwYP65Lp3pBABjDFE-10LY-y77CArgk1aHE8TqDFbZ3zXLraZHVblsD3fBMrhX7LwkBk0QVsGc9NDuNgu0Y_18lCQqo_qkjqLuHtY9xkG644eX0scb7K7z5JfvrJ0qaxObC6fVnycA549OqOFjkTCBgt-hIKh5ju8TC7NXferhn4G5WN55WSog4bmDSwYZf08j1Rchvo14FIQRDSsWek2R68.Elcjy--LHjw-vlVm1dE2Apxmlvx40k1tfBQJnyLfKRw&amp;dib_tag=se&amp;keywords=burr+coffee+grinder&amp;qid=1778619929&amp;sprefix=burr+coffee+grinder%2Caps%2C215&amp;sr=8-1-spons&amp;sp_csd=d2lkZ2V0TmFtZT1zcF9hdGY&amp;psc=1&amp;linkCode=ll2&amp;tag=mobile07ee195-20&amp;linkId=4782da8309d98c102a19bb0603395fd9&amp;language=en_US&amp;ref_=as_li_ss_tl</x:v>
      </x:c>
      <x:c r="U5" s="14" t="str">
        <x:v>Amazon title/link supplied in uploaded file; no review claims added.</x:v>
      </x:c>
    </x:row>
    <x:row r="6">
      <x:c r="A6" s="14" t="n">
        <x:v>5</x:v>
      </x:c>
      <x:c r="B6" s="14" t="str">
        <x:v>Coffee Grinders</x:v>
      </x:c>
      <x:c r="C6" s="14" t="str">
        <x:v>Manual burr grinder</x:v>
      </x:c>
      <x:c r="D6" s="14" t="str">
        <x:v>Premium estimate</x:v>
      </x:c>
      <x:c r="E6" s="14" t="str">
        <x:v>Medium</x:v>
      </x:c>
      <x:c r="F6" s="14" t="str">
        <x:v>High</x:v>
      </x:c>
      <x:c r="G6" s="14" t="str">
        <x:v>Travel, camping, office, or small-space setups</x:v>
      </x:c>
      <x:c r="H6" s="14" t="str">
        <x:v>conical burr; foldable handle; travel/camping</x:v>
      </x:c>
      <x:c r="I6" s="14" t="str">
        <x:v>Position as a travel/small-space coffee upgrade.</x:v>
      </x:c>
      <x:c r="J6" s="14" t="str">
        <x:v>Best Coffee Grinders for Beginners</x:v>
      </x:c>
      <x:c r="K6" s="14" t="str">
        <x:v>TIMEMORE Chestnut C3S Pro Manual Coffee Grinder, Stainless Steel S2C Conical Burr Coffee Grinde...</x:v>
      </x:c>
      <x:c r="L6" s="14" t="str">
        <x:v>View on Amazon</x:v>
      </x:c>
      <x:c r="M6" s="14" t="str">
        <x:v>Verify current Amazon price, reviews, availability, and exact specs before publishing.</x:v>
      </x:c>
      <x:c r="N6" s="14" t="str">
        <x:v>best coffee grinder for beginners, manual coffee grinder, electric burr grinder</x:v>
      </x:c>
      <x:c r="O6" s="14" t="str">
        <x:v>https://amzn.to/3PgIyKo</x:v>
      </x:c>
      <x:c r="P6" s="14" t="str">
        <x:v>B0CC4Z32F8</x:v>
      </x:c>
      <x:c r="Q6" s="14" t="str">
        <x:v>burr coffee grinder</x:v>
      </x:c>
      <x:c r="R6" s="14" t="str">
        <x:v>Yes</x:v>
      </x:c>
      <x:c r="S6" s="14" t="str">
        <x:v>TIMEMORE Chestnut C3S Pro Manual Coffee Grinder, Stainless Steel S2C Conical Burr Coffee Grinder, Hand Coffee Grinder with Foldable Handle, Adjustable Grind Setting for Travel/Camping/Home, Black</x:v>
      </x:c>
      <x:c r="T6" s="14" t="str">
        <x:v>https://www.amazon.com/TIMEMORE-Stainless-Capacity-Adjustable-Positioning/dp/B0CC4Z32F8?crid=1C1JMIL4GE6S6&amp;dib=eyJ2IjoiMSJ9.tNUPSUJOnyIElPccDO3xq1SWYZCmcAdpvkyEgHxEeegMRDSMafD9WILe3IHUrtxDeZHYicpJUTDn4WW6RxvlWUcJSJ7KhcEIqz-W3BIGJsWTwuFM4ycjSi8tCl4xtTe7ln8-TZd7MFVMwX4LE_s4mxZL-iNSvB1rCAordpgpQEXaeGeOhMkfug_MKO3JA87WT5yU9jgQZ3V8UoTXYDtflRexjCI8p3oE4pmwjyGvJAACVjgk4HRekjGv7wYLb0IxseEyPDr8ocFVtu2InTL2rcG7SX0cg50OIxtV_TRlOSk.a-j9fjdwsQqgP8g6K1J_w8sSwDNVb_Y7DNAQ4cdJjzM&amp;dib_tag=se&amp;keywords=burr%2Bcoffee%2Bgrinder&amp;qid=1778620606&amp;refinements=p_36%3A9400-15000&amp;rnid=386430011&amp;sprefix=burr%2Bcoffee%2Bgrinder%2Caps%2C349&amp;sr=8-2-spons&amp;sp_csd=d2lkZ2V0TmFtZT1zcF9hdGY&amp;th=1&amp;linkCode=ll2&amp;tag=mobile07ee195-20&amp;linkId=c1adebf31c139595c4c10e25296b1fb1&amp;language=en_US&amp;ref_=as_li_ss_tl</x:v>
      </x:c>
      <x:c r="U6" s="14" t="str">
        <x:v>Amazon title/link supplied in uploaded file; no review claims added.</x:v>
      </x:c>
    </x:row>
    <x:row r="7">
      <x:c r="A7" s="14" t="n">
        <x:v>6</x:v>
      </x:c>
      <x:c r="B7" s="14" t="str">
        <x:v>Coffee Grinders</x:v>
      </x:c>
      <x:c r="C7" s="14" t="str">
        <x:v>Electric burr grinder</x:v>
      </x:c>
      <x:c r="D7" s="14" t="str">
        <x:v>Mid estimate</x:v>
      </x:c>
      <x:c r="E7" s="14" t="str">
        <x:v>Low</x:v>
      </x:c>
      <x:c r="F7" s="14" t="str">
        <x:v>High</x:v>
      </x:c>
      <x:c r="G7" s="14" t="str">
        <x:v>General home coffee users</x:v>
      </x:c>
      <x:c r="H7" s="14" t="str">
        <x:v>48 grind settings; LED display/control; anti-static design</x:v>
      </x:c>
      <x:c r="I7" s="14" t="str">
        <x:v>Use as a middle option or comparison pick.</x:v>
      </x:c>
      <x:c r="J7" s="14" t="str">
        <x:v>Best Coffee Grinders for Beginners</x:v>
      </x:c>
      <x:c r="K7" s="14" t="str">
        <x:v>AMZCHEF Coffee Grinder, Coffee Bean Grinder for Home Use with Precise Grinding, LED Control Pan...</x:v>
      </x:c>
      <x:c r="L7" s="14" t="str">
        <x:v>View on Amazon</x:v>
      </x:c>
      <x:c r="M7" s="14" t="str">
        <x:v>Verify current Amazon price, reviews, availability, and exact specs before publishing.</x:v>
      </x:c>
      <x:c r="N7" s="14" t="str">
        <x:v>best coffee grinder for beginners, manual coffee grinder, electric burr grinder</x:v>
      </x:c>
      <x:c r="O7" s="14" t="str">
        <x:v>https://amzn.to/3PjYOtV</x:v>
      </x:c>
      <x:c r="P7" s="14" t="str">
        <x:v>B0FH35Y5K4</x:v>
      </x:c>
      <x:c r="Q7" s="14" t="str">
        <x:v>burr coffee grinder</x:v>
      </x:c>
      <x:c r="R7" s="14" t="str">
        <x:v>Yes</x:v>
      </x:c>
      <x:c r="S7" s="14" t="str">
        <x:v>AMZCHEF Coffee Grinder, Coffee Bean Grinder for Home Use with Precise Grinding, LED Control Panel, Detachable Funnel Stand, Anti-static Design, 48 Grind Settings, Silver</x:v>
      </x:c>
      <x:c r="T7" s="14" t="str">
        <x:v>https://www.amazon.com/AMZCHEF-Settings-Detachable-Espresso-Anti-static/dp/B0FH35Y5K4?crid=2PWWEMI3KX3N2&amp;dib=eyJ2IjoiMSJ9.l0F6mfWvSsZvS9T81nZWITEjeVu5Ct43Z5pInBdk-77cN7PNKiqIrfltz66yLDRiqUPa_KhvJaHb-4fpAR5PwYP65Lp3pBABjDFE-10LY-y77CArgk1aHE8TqDFbZ3zXLraZHVblsD3fBMrhX7LwkBk0QVsGc9NDuNgu0Y_18lCQqo_qkjqLuHtY9xkG644eX0scb7K7z5JfvrJ0qaxObC6fVnycA549OqOFjkTCBgt-hIKh5ju8TC7NXferhn4G5WN55WSog4bmDSwYZf08j1Rchvo14FIQRDSsWek2R68.Elcjy--LHjw-vlVm1dE2Apxmlvx40k1tfBQJnyLfKRw&amp;dib_tag=se&amp;keywords=burr+coffee+grinder&amp;qid=1778619929&amp;sprefix=burr+coffee+grinder%2Caps%2C215&amp;sr=8-5-spons&amp;sp_csd=d2lkZ2V0TmFtZT1zcF9hdGY&amp;psc=1&amp;linkCode=ll2&amp;tag=mobile07ee195-20&amp;linkId=2b46e2afb8614499e246605a06fa061a&amp;language=en_US&amp;ref_=as_li_ss_tl</x:v>
      </x:c>
      <x:c r="U7" s="14" t="str">
        <x:v>Amazon title/link supplied in uploaded file; no review claims added.</x:v>
      </x:c>
    </x:row>
    <x:row r="8">
      <x:c r="A8" s="14" t="n">
        <x:v>7</x:v>
      </x:c>
      <x:c r="B8" s="14" t="str">
        <x:v>Coffee Scales</x:v>
      </x:c>
      <x:c r="C8" s="14" t="str">
        <x:v>Coffee scale with timer</x:v>
      </x:c>
      <x:c r="D8" s="14" t="str">
        <x:v>Mid estimate</x:v>
      </x:c>
      <x:c r="E8" s="14" t="str">
        <x:v>Low</x:v>
      </x:c>
      <x:c r="F8" s="14" t="str">
        <x:v>High</x:v>
      </x:c>
      <x:c r="G8" s="14" t="str">
        <x:v>General home coffee users</x:v>
      </x:c>
      <x:c r="H8" s="14" t="str">
        <x:v>built-in timer</x:v>
      </x:c>
      <x:c r="I8" s="14" t="str">
        <x:v>Use as a middle option or comparison pick.</x:v>
      </x:c>
      <x:c r="J8" s="14" t="str">
        <x:v>Best Coffee Scales for Better Home Coffee</x:v>
      </x:c>
      <x:c r="K8" s="14" t="str">
        <x:v>Coffee Scale with Timer</x:v>
      </x:c>
      <x:c r="L8" s="14" t="str">
        <x:v>View on Amazon</x:v>
      </x:c>
      <x:c r="M8" s="14" t="str">
        <x:v>Verify current Amazon price, reviews, availability, and exact specs before publishing.</x:v>
      </x:c>
      <x:c r="N8" s="14" t="str">
        <x:v>coffee scale with timer, espresso scale, pour over scale</x:v>
      </x:c>
      <x:c r="O8" s="14" t="str">
        <x:v>https://amzn.to/4dkwtfb</x:v>
      </x:c>
      <x:c r="P8" s="14" t="str">
        <x:v>B07JG1PXLC</x:v>
      </x:c>
      <x:c r="Q8" s="14" t="str">
        <x:v>coffee scale</x:v>
      </x:c>
      <x:c r="R8" s="14" t="str">
        <x:v>No</x:v>
      </x:c>
      <x:c r="S8" s="14" t="str">
        <x:v>Coffee Scale with Timer, Espresso Scale with Timer, Espresso Coffee Scale with Timer for Pour Over Coffee</x:v>
      </x:c>
      <x:c r="T8" s="14" t="str">
        <x:v>https://www.amazon.com/Coffee-Scale-Waterproof-Scales-Espresso/dp/B07JG1PXLC?crid=29DLVZTF96Q8P&amp;dib=eyJ2IjoiMSJ9.v35QAma-fotDJrSsXg0Q3a1OVGll-EbAFuVW5_2t9JtX0QmS6KVpg7fMfJCYQenQCeO6yl2Fu0sY-bPGAC8No6ODICxwifcieIN3EgUA0QFkTduPYo0FpRId8DtS4r5XfqLLWIX2IEgM2VVBS6CPWv1sP-EpE5O5jh0e44mEwZQI6XbxS3rwRmTdUnaGKOlUT4V7r9FnoaowXQ7TdKrEc-XZsiocfsqJfCejDivyC_DV5lskAddR_DPxWADNAhxCa27vHDagPFTjb-obWWDPHDLv9RIH0TX1I_K85tTX4GU.arcwoi3bxLTkzN9CO150vn8ioxCS7XPdLAYsWSJLecc&amp;dib_tag=se&amp;keywords=coffee+scale&amp;qid=1778620647&amp;sprefix=coffee+scale%2Caps%2C281&amp;sr=8-11&amp;linkCode=ll2&amp;tag=mobile07ee195-20&amp;linkId=347c85a2747b1844785df24dc158ebe2&amp;language=en_US&amp;ref_=as_li_ss_tl</x:v>
      </x:c>
      <x:c r="U8" s="14" t="str">
        <x:v>Amazon title/link supplied in uploaded file; no review claims added.</x:v>
      </x:c>
    </x:row>
    <x:row r="9">
      <x:c r="A9" s="14" t="n">
        <x:v>8</x:v>
      </x:c>
      <x:c r="B9" s="14" t="str">
        <x:v>Coffee Scales</x:v>
      </x:c>
      <x:c r="C9" s="14" t="str">
        <x:v>Dosing cup scale</x:v>
      </x:c>
      <x:c r="D9" s="14" t="str">
        <x:v>Premium estimate</x:v>
      </x:c>
      <x:c r="E9" s="14" t="str">
        <x:v>Medium</x:v>
      </x:c>
      <x:c r="F9" s="14" t="str">
        <x:v>High</x:v>
      </x:c>
      <x:c r="G9" s="14" t="str">
        <x:v>General home coffee users</x:v>
      </x:c>
      <x:c r="H9" s="14" t="str">
        <x:v>LED display/control; dosing cup</x:v>
      </x:c>
      <x:c r="I9" s="14" t="str">
        <x:v>Use as the premium/upgrade pick in comparison tables.</x:v>
      </x:c>
      <x:c r="J9" s="14" t="str">
        <x:v>Best Coffee Scales for Better Home Coffee</x:v>
      </x:c>
      <x:c r="K9" s="14" t="str">
        <x:v>Subminimal Subscale Digital Dosing Cup with LED Display – Sleek &amp; Precise Scale - Dosing &amp; Brew...</x:v>
      </x:c>
      <x:c r="L9" s="14" t="str">
        <x:v>View on Amazon</x:v>
      </x:c>
      <x:c r="M9" s="14" t="str">
        <x:v>Verify current Amazon price, reviews, availability, and exact specs before publishing.</x:v>
      </x:c>
      <x:c r="N9" s="14" t="str">
        <x:v>coffee scale with timer, espresso scale, pour over scale</x:v>
      </x:c>
      <x:c r="O9" s="14" t="str">
        <x:v>https://amzn.to/4wmgcPD</x:v>
      </x:c>
      <x:c r="P9" s="14" t="str">
        <x:v>B0DGLWFX7Q</x:v>
      </x:c>
      <x:c r="Q9" s="14" t="str">
        <x:v>coffee scale</x:v>
      </x:c>
      <x:c r="R9" s="14" t="str">
        <x:v>Yes</x:v>
      </x:c>
      <x:c r="S9" s="14" t="str">
        <x:v>Subminimal Subscale Digital Dosing Cup with LED Display – Sleek &amp; Precise Scale - Dosing &amp; Brewing Accessories, Measures Coffee Grounds for Espresso - Black</x:v>
      </x:c>
      <x:c r="T9" s="14" t="str">
        <x:v>https://www.amazon.com/Subminimal-SUB-SS-01-BL-Subscale-Black/dp/B0DGLWFX7Q?crid=29DLVZTF96Q8P&amp;dib=eyJ2IjoiMSJ9.v35QAma-fotDJrSsXg0Q3a1OVGll-EbAFuVW5_2t9JtX0QmS6KVpg7fMfJCYQenQCeO6yl2Fu0sY-bPGAC8No6ODICxwifcieIN3EgUA0QFkTduPYo0FpRId8DtS4r5XfqLLWIX2IEgM2VVBS6CPWv1sP-EpE5O5jh0e44mEwZQI6XbxS3rwRmTdUnaGKOlUT4V7r9FnoaowXQ7TdKrEc-XZsiocfsqJfCejDivyC_DV5lskAddR_DPxWADNAhxCa27vHDagPFTjb-obWWDPHDLv9RIH0TX1I_K85tTX4GU.arcwoi3bxLTkzN9CO150vn8ioxCS7XPdLAYsWSJLecc&amp;dib_tag=se&amp;keywords=coffee+scale&amp;qid=1778620647&amp;sprefix=coffee+scale%2Caps%2C281&amp;sr=8-3-spons&amp;sp_csd=d2lkZ2V0TmFtZT1zcF9hdGY&amp;psc=1&amp;linkCode=ll2&amp;tag=mobile07ee195-20&amp;linkId=e7e6101e5d2bc6d84f94a912757f33a6&amp;language=en_US&amp;ref_=as_li_ss_tl</x:v>
      </x:c>
      <x:c r="U9" s="14" t="str">
        <x:v>Amazon title/link supplied in uploaded file; no review claims added.</x:v>
      </x:c>
    </x:row>
    <x:row r="10">
      <x:c r="A10" s="14" t="n">
        <x:v>9</x:v>
      </x:c>
      <x:c r="B10" s="14" t="str">
        <x:v>Coffee Scales</x:v>
      </x:c>
      <x:c r="C10" s="14" t="str">
        <x:v>Dosing cup scale</x:v>
      </x:c>
      <x:c r="D10" s="14" t="str">
        <x:v>Mid estimate</x:v>
      </x:c>
      <x:c r="E10" s="14" t="str">
        <x:v>Low</x:v>
      </x:c>
      <x:c r="F10" s="14" t="str">
        <x:v>High</x:v>
      </x:c>
      <x:c r="G10" s="14" t="str">
        <x:v>Coffee users who want precision/control</x:v>
      </x:c>
      <x:c r="H10" s="14" t="str">
        <x:v>built-in timer; flow-rate display; brew-ratio display; dosing cup; magnetic accessory</x:v>
      </x:c>
      <x:c r="I10" s="14" t="str">
        <x:v>Position as precision gear for people who want more control.</x:v>
      </x:c>
      <x:c r="J10" s="14" t="str">
        <x:v>Best Coffee Scales for Better Home Coffee</x:v>
      </x:c>
      <x:c r="K10" s="14" t="str">
        <x:v>LAYBIRD MagAttach 3-in-1 Coffee Scale with Timer – Precision Espresso &amp; Pour Over Scale with Fl...</x:v>
      </x:c>
      <x:c r="L10" s="14" t="str">
        <x:v>View on Amazon</x:v>
      </x:c>
      <x:c r="M10" s="14" t="str">
        <x:v>Verify current Amazon price, reviews, availability, and exact specs before publishing.</x:v>
      </x:c>
      <x:c r="N10" s="14" t="str">
        <x:v>coffee scale with timer, espresso scale, pour over scale</x:v>
      </x:c>
      <x:c r="O10" s="14" t="str">
        <x:v>https://amzn.to/4djV7fL</x:v>
      </x:c>
      <x:c r="P10" s="14" t="str">
        <x:v>B0GS5FPWCF</x:v>
      </x:c>
      <x:c r="Q10" s="14" t="str">
        <x:v>coffee scale</x:v>
      </x:c>
      <x:c r="R10" s="14" t="str">
        <x:v>Yes</x:v>
      </x:c>
      <x:c r="S10" s="14" t="str">
        <x:v>LAYBIRD MagAttach 3-in-1 Coffee Scale with Timer – Precision Espresso &amp; Pour Over Scale with Flow Rate and Brew Ratio Display, Includes Magnetic Dosing Cup and Extension Platform Brewing Accessories</x:v>
      </x:c>
      <x:c r="T10" s="14" t="str">
        <x:v>https://www.amazon.com/LAYBIRD-MagAttach-Coffee-Scale-Timer/dp/B0GS5FPWCF?crid=29DLVZTF96Q8P&amp;dib=eyJ2IjoiMSJ9.v35QAma-fotDJrSsXg0Q3a1OVGll-EbAFuVW5_2t9JtX0QmS6KVpg7fMfJCYQenQCeO6yl2Fu0sY-bPGAC8No6ODICxwifcieIN3EgUA0QFkTduPYo0FpRId8DtS4r5XfqLLWIX2IEgM2VVBS6CPWv1sP-EpE5O5jh0e44mEwZQI6XbxS3rwRmTdUnaGKOlUT4V7r9FnoaowXQ7TdKrEc-XZsiocfsqJfCejDivyC_DV5lskAddR_DPxWADNAhxCa27vHDagPFTjb-obWWDPHDLv9RIH0TX1I_K85tTX4GU.arcwoi3bxLTkzN9CO150vn8ioxCS7XPdLAYsWSJLecc&amp;dib_tag=se&amp;keywords=coffee+scale&amp;qid=1778620647&amp;sprefix=coffee+scale%2Caps%2C281&amp;sr=8-12-spons&amp;sp_csd=d2lkZ2V0TmFtZT1zcF9tdGY&amp;psc=1&amp;linkCode=ll2&amp;tag=mobile07ee195-20&amp;linkId=aa6b3ea43061dd6a4ba95407d936285b&amp;language=en_US&amp;ref_=as_li_ss_tl</x:v>
      </x:c>
      <x:c r="U10" s="14" t="str">
        <x:v>Amazon title/link supplied in uploaded file; no review claims added.</x:v>
      </x:c>
    </x:row>
    <x:row r="11">
      <x:c r="A11" s="14" t="n">
        <x:v>10</x:v>
      </x:c>
      <x:c r="B11" s="14" t="str">
        <x:v>Cold Brew Makers</x:v>
      </x:c>
      <x:c r="C11" s="14" t="str">
        <x:v>Immersion cold brew jar/carafe</x:v>
      </x:c>
      <x:c r="D11" s="14" t="str">
        <x:v>Mid estimate</x:v>
      </x:c>
      <x:c r="E11" s="14" t="str">
        <x:v>Low</x:v>
      </x:c>
      <x:c r="F11" s="14" t="str">
        <x:v>High</x:v>
      </x:c>
      <x:c r="G11" s="14" t="str">
        <x:v>Simple/manual-brewing users</x:v>
      </x:c>
      <x:c r="H11" s="14" t="str">
        <x:v>64 oz capacity; leakproof; wide-mouth jar; stainless steel filter; cold brew</x:v>
      </x:c>
      <x:c r="I11" s="14" t="str">
        <x:v>Use as a middle option or comparison pick.</x:v>
      </x:c>
      <x:c r="J11" s="14" t="str">
        <x:v>Best Cold Brew Makers for Home</x:v>
      </x:c>
      <x:c r="K11" s="14" t="str">
        <x:v>JunVpic Cold Brew Coffee Maker Jar - 64oz Wide Mouth,LeakProof,Heavy Duty Glass Mason Pitcher w...</x:v>
      </x:c>
      <x:c r="L11" s="14" t="str">
        <x:v>View on Amazon</x:v>
      </x:c>
      <x:c r="M11" s="14" t="str">
        <x:v>Verify current Amazon price, reviews, availability, and exact specs before publishing.</x:v>
      </x:c>
      <x:c r="N11" s="14" t="str">
        <x:v>best cold brew maker, cold brew jar, cold drip tower</x:v>
      </x:c>
      <x:c r="O11" s="14" t="str">
        <x:v>https://amzn.to/49HzViM</x:v>
      </x:c>
      <x:c r="P11" s="14" t="str">
        <x:v>B0BNN7GGKR</x:v>
      </x:c>
      <x:c r="Q11" s="14" t="str">
        <x:v>cold brew</x:v>
      </x:c>
      <x:c r="R11" s="14" t="str">
        <x:v>Yes</x:v>
      </x:c>
      <x:c r="S11" s="14" t="str">
        <x:v>JunVpic Cold Brew Coffee Maker Jar - 64oz Wide Mouth,LeakProof,Heavy Duty Glass Mason Pitcher with Spout Lid,Handle &amp; Stainless Steel Filter for Iced Coffee,Lemonade,Ice Tea &amp; Fruit Drinks</x:v>
      </x:c>
      <x:c r="T11" s="14" t="str">
        <x:v>https://www.amazon.com/Cold-Brew-Coffee-Maker-Jar/dp/B0BNN7GGKR?crid=1KH7JMV619J80&amp;dib=eyJ2IjoiMSJ9.MixLmzhsqhT6JH1godQ_O1E-OEm_-XMLM13vRHS7Reh3axb-un1vz8hN9PTkCROlBKT_NztaUXqYJ1_sAdpStbvJGEg_TApsqt9-Fi1L49ZZ87R5TlfgYN2Xia2mnEINzdh8d2RvgQ6vwf7k_iaGacmjDL6iIIU_ofONdNVUfSJSN4R2dZdXyTNwWljxHVBxTIpO53ia8jTExMYwopIjXqI34vnIqinJ3BLtUk7BGpRm4D-zBwp_Jabrrcc3uWxe6GM7SwChARYbqTi237Xi-QanhLbI3szwQqBq3wMra_M.e6Lvt3sdTsSeyu8k2V0Igm3uqNQIlbgHhmJN-ekVy0o&amp;dib_tag=se&amp;keywords=cold%2Bbrew&amp;qid=1778620857&amp;sprefix=cold%2Bvrew%2Caps%2C361&amp;sr=8-5-spons&amp;sp_csd=d2lkZ2V0TmFtZT1zcF9hdGY&amp;th=1&amp;linkCode=ll2&amp;tag=mobile07ee195-20&amp;linkId=57613235c4159a95ed89bcc95fc39033&amp;language=en_US&amp;ref_=as_li_ss_tl</x:v>
      </x:c>
      <x:c r="U11" s="14" t="str">
        <x:v>Amazon title/link supplied in uploaded file; no review claims added.</x:v>
      </x:c>
    </x:row>
    <x:row r="12">
      <x:c r="A12" s="14" t="n">
        <x:v>11</x:v>
      </x:c>
      <x:c r="B12" s="14" t="str">
        <x:v>Cold Brew Makers</x:v>
      </x:c>
      <x:c r="C12" s="14" t="str">
        <x:v>Immersion cold brew jar/carafe</x:v>
      </x:c>
      <x:c r="D12" s="14" t="str">
        <x:v>Mid estimate</x:v>
      </x:c>
      <x:c r="E12" s="14" t="str">
        <x:v>Low</x:v>
      </x:c>
      <x:c r="F12" s="14" t="str">
        <x:v>High</x:v>
      </x:c>
      <x:c r="G12" s="14" t="str">
        <x:v>General home coffee users</x:v>
      </x:c>
      <x:c r="H12" s="14" t="str">
        <x:v>34 oz capacity; 1.0 L capacity; stainless steel filter; cold brew</x:v>
      </x:c>
      <x:c r="I12" s="14" t="str">
        <x:v>Use as a middle option or comparison pick.</x:v>
      </x:c>
      <x:c r="J12" s="14" t="str">
        <x:v>Best Cold Brew Makers for Home</x:v>
      </x:c>
      <x:c r="K12" s="14" t="str">
        <x:v>OVALWARE Airtight Cold Brew Iced Coffee Maker Pitcher and Tea Infuser with Spout - 1.0L / 34oz ...</x:v>
      </x:c>
      <x:c r="L12" s="14" t="str">
        <x:v>View on Amazon</x:v>
      </x:c>
      <x:c r="M12" s="14" t="str">
        <x:v>Verify current Amazon price, reviews, availability, and exact specs before publishing.</x:v>
      </x:c>
      <x:c r="N12" s="14" t="str">
        <x:v>best cold brew maker, cold brew jar, cold drip tower</x:v>
      </x:c>
      <x:c r="O12" s="14" t="str">
        <x:v>https://amzn.to/4d6T7J1</x:v>
      </x:c>
      <x:c r="P12" s="14" t="str">
        <x:v>B01CTIYU60</x:v>
      </x:c>
      <x:c r="Q12" s="14" t="str">
        <x:v>cold brew</x:v>
      </x:c>
      <x:c r="R12" s="14" t="str">
        <x:v>Yes</x:v>
      </x:c>
      <x:c r="S12" s="14" t="str">
        <x:v>OVALWARE Airtight Cold Brew Iced Coffee Maker Pitcher and Tea Infuser with Spout - 1.0L / 34oz Ovalware RJ3 Brewing Glass Carafe with Removable Stainless Steel Filter</x:v>
      </x:c>
      <x:c r="T12" s="14" t="str">
        <x:v>https://www.amazon.com/Airtight-Coffee-Maker-Infuser-Spout/dp/B01CTIYU60?crid=1KH7JMV619J80&amp;dib=eyJ2IjoiMSJ9.MixLmzhsqhT6JH1godQ_O1E-OEm_-XMLM13vRHS7Reh3axb-un1vz8hN9PTkCROlBKT_NztaUXqYJ1_sAdpStbvJGEg_TApsqt9-Fi1L49ZZ87R5TlfgYN2Xia2mnEINzdh8d2RvgQ6vwf7k_iaGacmjDL6iIIU_ofONdNVUfSJSN4R2dZdXyTNwWljxHVBxTIpO53ia8jTExMYwopIjXqI34vnIqinJ3BLtUk7BGpRm4D-zBwp_Jabrrcc3uWxe6GM7SwChARYbqTi237Xi-QanhLbI3szwQqBq3wMra_M.e6Lvt3sdTsSeyu8k2V0Igm3uqNQIlbgHhmJN-ekVy0o&amp;dib_tag=se&amp;keywords=cold%2Bbrew&amp;qid=1778620857&amp;sprefix=cold%2Bvrew%2Caps%2C361&amp;sr=8-2-spons&amp;sp_csd=d2lkZ2V0TmFtZT1zcF9hdGY&amp;th=1&amp;linkCode=ll2&amp;tag=mobile07ee195-20&amp;linkId=1c2bcd942436b7785bcd5925850737b9&amp;language=en_US&amp;ref_=as_li_ss_tl</x:v>
      </x:c>
      <x:c r="U12" s="14" t="str">
        <x:v>Amazon title/link supplied in uploaded file; no review claims added.</x:v>
      </x:c>
    </x:row>
    <x:row r="13">
      <x:c r="A13" s="14" t="n">
        <x:v>12</x:v>
      </x:c>
      <x:c r="B13" s="14" t="str">
        <x:v>Cold Brew Makers</x:v>
      </x:c>
      <x:c r="C13" s="14" t="str">
        <x:v>Cold drip tower</x:v>
      </x:c>
      <x:c r="D13" s="14" t="str">
        <x:v>Premium estimate</x:v>
      </x:c>
      <x:c r="E13" s="14" t="str">
        <x:v>Low</x:v>
      </x:c>
      <x:c r="F13" s="14" t="str">
        <x:v>High</x:v>
      </x:c>
      <x:c r="G13" s="14" t="str">
        <x:v>Simple/manual-brewing users</x:v>
      </x:c>
      <x:c r="H13" s="14" t="str">
        <x:v>adjustable valve; wooden frame; cold brew</x:v>
      </x:c>
      <x:c r="I13" s="14" t="str">
        <x:v>Use as the premium/upgrade pick in comparison tables.</x:v>
      </x:c>
      <x:c r="J13" s="14" t="str">
        <x:v>Best Cold Brew Makers for Home</x:v>
      </x:c>
      <x:c r="K13" s="14" t="str">
        <x:v>Nispira Iced Coffee Cold Brew Drip Tower Coffee Maker, 6–8 Cup Manual Cold Brew Brewer with Adj...</x:v>
      </x:c>
      <x:c r="L13" s="14" t="str">
        <x:v>View on Amazon</x:v>
      </x:c>
      <x:c r="M13" s="14" t="str">
        <x:v>Verify current Amazon price, reviews, availability, and exact specs before publishing.</x:v>
      </x:c>
      <x:c r="N13" s="14" t="str">
        <x:v>best cold brew maker, cold brew jar, cold drip tower</x:v>
      </x:c>
      <x:c r="O13" s="14" t="str">
        <x:v>https://amzn.to/4np55Bf</x:v>
      </x:c>
      <x:c r="P13" s="14" t="str">
        <x:v>B00N4OXD7G</x:v>
      </x:c>
      <x:c r="Q13" s="14" t="str">
        <x:v>cold brew</x:v>
      </x:c>
      <x:c r="R13" s="14" t="str">
        <x:v>Yes</x:v>
      </x:c>
      <x:c r="S13" s="14" t="str">
        <x:v>Nispira Iced Coffee Cold Brew Drip Tower Coffee Maker, 6–8 Cup Manual Cold Brew Brewer with Adjustable Valve, Wooden Frame &amp; Glassware, Slow Cold Extraction System</x:v>
      </x:c>
      <x:c r="T13" s="14" t="str">
        <x:v>https://www.amazon.com/Nispira-Coffee-Dripper-Maker-Wooden/dp/B00N4OXD7G?content-id=amzn1.sym.e71122fe-04ee-4803-997b-4f96bd9a9a7b%3Aamzn1.sym.e71122fe-04ee-4803-997b-4f96bd9a9a7b&amp;crid=1KH7JMV619J80&amp;cv_ct_cx=cold%2Bbrew&amp;keywords=cold%2Bbrew&amp;pd_rd_i=B00N4OXD7G&amp;pd_rd_r=e24cdab9-655c-483f-93b7-3a4fe3ff3195&amp;pd_rd_w=ae4ho&amp;pd_rd_wg=x93HO&amp;pf_rd_p=e71122fe-04ee-4803-997b-4f96bd9a9a7b&amp;pf_rd_r=BWPRYT8P1AB98FR3KNT9&amp;qid=1778620857&amp;sbo=RZvfv%2F%2FHxDF%2BO5021pAnSA%3D%3D&amp;sprefix=cold%2Bvrew%2Caps%2C361&amp;sr=1-2-6e60e730-e094-43e9-99e8-1a4854cd27ff-spons&amp;aref=Vj9Zg1GcKQ&amp;sp_csd=d2lkZ2V0TmFtZT1zcF9zZWFyY2hfdGhlbWF0aWM&amp;th=1&amp;linkCode=ll2&amp;tag=mobile07ee195-20&amp;linkId=5b9b50ee94e69c9bd893ac3cf3b0caa8&amp;language=en_US&amp;ref_=as_li_ss_tl</x:v>
      </x:c>
      <x:c r="U13" s="14" t="str">
        <x:v>Amazon title/link supplied in uploaded file; no review claims added.</x:v>
      </x:c>
    </x:row>
    <x:row r="14">
      <x:c r="A14" s="14" t="n">
        <x:v>13</x:v>
      </x:c>
      <x:c r="B14" s="14" t="str">
        <x:v>Cold Brew Makers</x:v>
      </x:c>
      <x:c r="C14" s="14" t="str">
        <x:v>Cold brew maker</x:v>
      </x:c>
      <x:c r="D14" s="14" t="str">
        <x:v>Mid estimate</x:v>
      </x:c>
      <x:c r="E14" s="14" t="str">
        <x:v>Low</x:v>
      </x:c>
      <x:c r="F14" s="14" t="str">
        <x:v>High</x:v>
      </x:c>
      <x:c r="G14" s="14" t="str">
        <x:v>General home coffee users</x:v>
      </x:c>
      <x:c r="H14" s="14" t="str">
        <x:v>400 ml capacity; borosilicate glass; cold brew</x:v>
      </x:c>
      <x:c r="I14" s="14" t="str">
        <x:v>Use as a middle option or comparison pick.</x:v>
      </x:c>
      <x:c r="J14" s="14" t="str">
        <x:v>Best Cold Brew Makers for Home</x:v>
      </x:c>
      <x:c r="K14" s="14" t="str">
        <x:v>Nispira Iced Coffee Cold Brew Drip Coffee Maker Stainless Steal, 400mL, Borosilicate Glass</x:v>
      </x:c>
      <x:c r="L14" s="14" t="str">
        <x:v>View on Amazon</x:v>
      </x:c>
      <x:c r="M14" s="14" t="str">
        <x:v>Title contains spelling/wording issues; clean up display name in blog.</x:v>
      </x:c>
      <x:c r="N14" s="14" t="str">
        <x:v>best cold brew maker, cold brew jar, cold drip tower</x:v>
      </x:c>
      <x:c r="O14" s="14" t="str">
        <x:v>https://amzn.to/4d6TbIL</x:v>
      </x:c>
      <x:c r="P14" s="14" t="str">
        <x:v>B0BCSYMMSF</x:v>
      </x:c>
      <x:c r="Q14" s="14" t="str">
        <x:v>cold brew</x:v>
      </x:c>
      <x:c r="R14" s="14" t="str">
        <x:v>Yes</x:v>
      </x:c>
      <x:c r="S14" s="14" t="str">
        <x:v>Nispira Iced Coffee Cold Brew Drip Coffee Maker Stainless Steal, 400mL, Borosilicate Glass</x:v>
      </x:c>
      <x:c r="T14" s="14" t="str">
        <x:v>https://www.amazon.com/Nispira-Coffee-Maker-Stainless-Borosilicate/dp/B0BCSYMMSF?crid=1KH7JMV619J80&amp;dib=eyJ2IjoiMSJ9.MixLmzhsqhT6JH1godQ_O1E-OEm_-XMLM13vRHS7Reh3axb-un1vz8hN9PTkCROlBKT_NztaUXqYJ1_sAdpStbvJGEg_TApsqt9-Fi1L49ZZ87R5TlfgYN2Xia2mnEINzdh8d2RvgQ6vwf7k_iaGacmjDL6iIIU_ofONdNVUfSJSN4R2dZdXyTNwWljxHVBxTIpO53ia8jTExMYwopIjXqI34vnIqinJ3BLtUk7BGpRm4D-zBwp_Jabrrcc3uWxe6GM7SwChARYbqTi237Xi-QanhLbI3szwQqBq3wMra_M.e6Lvt3sdTsSeyu8k2V0Igm3uqNQIlbgHhmJN-ekVy0o&amp;dib_tag=se&amp;keywords=cold%2Bbrew&amp;qid=1778620857&amp;sprefix=cold%2Bvrew%2Caps%2C361&amp;sr=8-13-spons&amp;sp_csd=d2lkZ2V0TmFtZT1zcF9tdGY&amp;th=1&amp;linkCode=ll2&amp;tag=mobile07ee195-20&amp;linkId=f6897a1b25b1230e2ae5911e6dbff864&amp;language=en_US&amp;ref_=as_li_ss_tl</x:v>
      </x:c>
      <x:c r="U14" s="14" t="str">
        <x:v>Amazon title/link supplied in uploaded file; no review claims added.</x:v>
      </x:c>
    </x:row>
    <x:row r="15">
      <x:c r="A15" s="14" t="n">
        <x:v>14</x:v>
      </x:c>
      <x:c r="B15" s="14" t="str">
        <x:v>French Press</x:v>
      </x:c>
      <x:c r="C15" s="14" t="str">
        <x:v>Glass French press</x:v>
      </x:c>
      <x:c r="D15" s="14" t="str">
        <x:v>Mid estimate</x:v>
      </x:c>
      <x:c r="E15" s="14" t="str">
        <x:v>Low</x:v>
      </x:c>
      <x:c r="F15" s="14" t="str">
        <x:v>Medium</x:v>
      </x:c>
      <x:c r="G15" s="14" t="str">
        <x:v>General home coffee users</x:v>
      </x:c>
      <x:c r="H15" s="14" t="str">
        <x:v>21 oz capacity; borosilicate glass; cold brew</x:v>
      </x:c>
      <x:c r="I15" s="14" t="str">
        <x:v>Use as a middle option or comparison pick.</x:v>
      </x:c>
      <x:c r="J15" s="14" t="str">
        <x:v>Best French Press Coffee Makers</x:v>
      </x:c>
      <x:c r="K15" s="14" t="str">
        <x:v>French Press Coffee Maker 21 oz, Cold Brew Heat Resistant Thickened Borosilicate Coffee Pot, Co...</x:v>
      </x:c>
      <x:c r="L15" s="14" t="str">
        <x:v>View on Amazon</x:v>
      </x:c>
      <x:c r="M15" s="14" t="str">
        <x:v>Verify current Amazon price, reviews, availability, and exact specs before publishing.</x:v>
      </x:c>
      <x:c r="N15" s="14" t="str">
        <x:v>best french press coffee maker, non toxic french press, glass french press</x:v>
      </x:c>
      <x:c r="O15" s="14" t="str">
        <x:v>https://amzn.to/3QW0mep</x:v>
      </x:c>
      <x:c r="P15" s="14" t="str">
        <x:v>B09Y5V9MVG</x:v>
      </x:c>
      <x:c r="Q15" s="14" t="str">
        <x:v>french press</x:v>
      </x:c>
      <x:c r="R15" s="14" t="str">
        <x:v>No</x:v>
      </x:c>
      <x:c r="S15" s="14" t="str">
        <x:v>French Press Coffee Maker 21 oz, Cold Brew Heat Resistant Thickened Borosilicate Coffee Pot, Coffee Presses 600 ml, Tea and Frothed Milk Press (Black，21Ounce)</x:v>
      </x:c>
      <x:c r="T15" s="14" t="str">
        <x:v>https://www.amazon.com/TBGENIUS-Resistant-Thickened-Borosilicate-Black%EF%BC%8C21Ounce/dp/B09Y5V9MVG?crid=1XSRO6CPOTCQS&amp;dib=eyJ2IjoiMSJ9.JLsnFqYnoFYldr8wKhC91auVhAe9yH75IdHGE3W9yPnMFFpVPMtpPf2Gm0RrS7bG_Lw-qTEKA7qyibeue_vhJxjrpMZ83OpBQJ0SCRyR7fd3G8MbMWu3gsZwctg6QDwY4YjBVCoYGuHKOSRF3A2cKCKwY8v0ZNoPwsG1BrvhaKHfTSr50oXJGI43bMkplvB9IKqoKlshcCt-LgYdcAvb-enZdkPd8MHSLgyXjGYu9Qu4scZ0FMM0yorckYPI0gpVaDwLrgrmtpsDRKCvGub4Lifs1xdcrBjoWud2n4oOY18.lR78usBui6NFELx6m89Qaff_yF_DQm-4AEPceswQ0gw&amp;dib_tag=se&amp;keywords=french+press&amp;qid=1778621062&amp;sprefix=french%2Caps%2C233&amp;sr=8-8&amp;linkCode=ll2&amp;tag=mobile07ee195-20&amp;linkId=206ab45a3455a008e1df31ead1fb36e5&amp;language=en_US&amp;ref_=as_li_ss_tl</x:v>
      </x:c>
      <x:c r="U15" s="14" t="str">
        <x:v>Amazon title/link supplied in uploaded file; no review claims added.</x:v>
      </x:c>
    </x:row>
    <x:row r="16">
      <x:c r="A16" s="14" t="n">
        <x:v>15</x:v>
      </x:c>
      <x:c r="B16" s="14" t="str">
        <x:v>French Press</x:v>
      </x:c>
      <x:c r="C16" s="14" t="str">
        <x:v>Stainless steel French press</x:v>
      </x:c>
      <x:c r="D16" s="14" t="str">
        <x:v>Mid estimate</x:v>
      </x:c>
      <x:c r="E16" s="14" t="str">
        <x:v>Low</x:v>
      </x:c>
      <x:c r="F16" s="14" t="str">
        <x:v>Medium</x:v>
      </x:c>
      <x:c r="G16" s="14" t="str">
        <x:v>Travel, camping, office, or small-space setups</x:v>
      </x:c>
      <x:c r="H16" s="14" t="str">
        <x:v>plastic-free; heavy metal-free; no endocrine disruptors; double wall; 4-layer filter; portable</x:v>
      </x:c>
      <x:c r="I16" s="14" t="str">
        <x:v>Position as a travel/small-space coffee upgrade.</x:v>
      </x:c>
      <x:c r="J16" s="14" t="str">
        <x:v>Best French Press Coffee Makers</x:v>
      </x:c>
      <x:c r="K16" s="14" t="str">
        <x:v>Ziruma Non-Toxic French Press, Surgical Stainless Steel Coffee Press, Plastic-Free, Heavy Metal...</x:v>
      </x:c>
      <x:c r="L16" s="14" t="str">
        <x:v>View on Amazon</x:v>
      </x:c>
      <x:c r="M16" s="14" t="str">
        <x:v>Health/material claims should be phrased as 'listed as' unless independently verified.</x:v>
      </x:c>
      <x:c r="N16" s="14" t="str">
        <x:v>best french press coffee maker, non toxic french press, glass french press</x:v>
      </x:c>
      <x:c r="O16" s="14" t="str">
        <x:v>https://amzn.to/4tz7xXw</x:v>
      </x:c>
      <x:c r="P16" s="14" t="str">
        <x:v>B0DFF4224M</x:v>
      </x:c>
      <x:c r="Q16" s="14" t="str">
        <x:v>french press</x:v>
      </x:c>
      <x:c r="R16" s="14" t="str">
        <x:v>Yes</x:v>
      </x:c>
      <x:c r="S16" s="14" t="str">
        <x:v>Ziruma Non-Toxic French Press, Surgical Stainless Steel Coffee Press, Plastic-Free, Heavy Metal-Free, No Endocrine Disruptors, 34 Oz, Double Wall, 4-Layer Filter, Portable Coffee Maker</x:v>
      </x:c>
      <x:c r="T16" s="14" t="str">
        <x:v>https://www.amazon.com/Ziruma-Non-Toxic-French-Surgical-Stainless/dp/B0DFF4224M?crid=1XSRO6CPOTCQS&amp;dib=eyJ2IjoiMSJ9.JLsnFqYnoFYldr8wKhC91auVhAe9yH75IdHGE3W9yPnMFFpVPMtpPf2Gm0RrS7bG_Lw-qTEKA7qyibeue_vhJxjrpMZ83OpBQJ0SCRyR7fd3G8MbMWu3gsZwctg6QDwY4YjBVCoYGuHKOSRF3A2cKCKwY8v0ZNoPwsG1BrvhaKHfTSr50oXJGI43bMkplvB9IKqoKlshcCt-LgYdcAvb-enZdkPd8MHSLgyXjGYu9Qu4scZ0FMM0yorckYPI0gpVaDwLrgrmtpsDRKCvGub4Lifs1xdcrBjoWud2n4oOY18.lR78usBui6NFELx6m89Qaff_yF_DQm-4AEPceswQ0gw&amp;dib_tag=se&amp;keywords=french+press&amp;qid=1778621062&amp;sprefix=french%2Caps%2C233&amp;sr=8-2-spons&amp;sp_csd=d2lkZ2V0TmFtZT1zcF9hdGY&amp;psc=1&amp;linkCode=ll2&amp;tag=mobile07ee195-20&amp;linkId=a60268c0eb1bae82c1ddbd0d87408d4d&amp;language=en_US&amp;ref_=as_li_ss_tl</x:v>
      </x:c>
      <x:c r="U16" s="14" t="str">
        <x:v>Amazon title/link supplied in uploaded file; no review claims added.</x:v>
      </x:c>
    </x:row>
    <x:row r="17">
      <x:c r="A17" s="14" t="n">
        <x:v>16</x:v>
      </x:c>
      <x:c r="B17" s="14" t="str">
        <x:v>Pour Over</x:v>
      </x:c>
      <x:c r="C17" s="14" t="str">
        <x:v>Pour-over carafe/dripper</x:v>
      </x:c>
      <x:c r="D17" s="14" t="str">
        <x:v>Mid estimate</x:v>
      </x:c>
      <x:c r="E17" s="14" t="str">
        <x:v>Low</x:v>
      </x:c>
      <x:c r="F17" s="14" t="str">
        <x:v>Medium</x:v>
      </x:c>
      <x:c r="G17" s="14" t="str">
        <x:v>General home coffee users</x:v>
      </x:c>
      <x:c r="H17" s="14" t="str">
        <x:v>20 oz capacity; stainless steel filter; borosilicate glass</x:v>
      </x:c>
      <x:c r="I17" s="14" t="str">
        <x:v>Use as a middle option or comparison pick.</x:v>
      </x:c>
      <x:c r="J17" s="14" t="str">
        <x:v>Best Pour Over Coffee Makers and Starter Kits</x:v>
      </x:c>
      <x:c r="K17" s="14" t="str">
        <x:v>Lalord Pour Over Coffee Maker with Stainless Steel Filter, 20 oz Borosilicate Glass Coffee Cara...</x:v>
      </x:c>
      <x:c r="L17" s="14" t="str">
        <x:v>View on Amazon</x:v>
      </x:c>
      <x:c r="M17" s="14" t="str">
        <x:v>Verify current Amazon price, reviews, availability, and exact specs before publishing.</x:v>
      </x:c>
      <x:c r="N17" s="14" t="str">
        <x:v>pour over coffee maker, pour over starter kit, coffee dripper</x:v>
      </x:c>
      <x:c r="O17" s="14" t="str">
        <x:v>https://amzn.to/438HQC0</x:v>
      </x:c>
      <x:c r="P17" s="14" t="str">
        <x:v>B0C4LY3FLM</x:v>
      </x:c>
      <x:c r="Q17" s="14" t="str">
        <x:v>pour over coffee maker</x:v>
      </x:c>
      <x:c r="R17" s="14" t="str">
        <x:v>Yes</x:v>
      </x:c>
      <x:c r="S17" s="14" t="str">
        <x:v>Lalord Pour Over Coffee Maker with Stainless Steel Filter, 20 oz Borosilicate Glass Coffee Carafe, Wooden Collar, Coffee Maker Carafe, Hold 3-4 Cups, 600 ml, Clear</x:v>
      </x:c>
      <x:c r="T17" s="14" t="str">
        <x:v>https://www.amazon.com/Lalord-Coffee-Stainless-Filter-Borosilicate/dp/B0C4LY3FLM?crid=19WC53MF44JIT&amp;dib=eyJ2IjoiMSJ9.iIHVJzJMY4I1jbiBlfJOj-FtuWYIYQ6zTQenLe8jzazEjeV7VRjuRLCd02TuhgsbTkEcZGeMjCxXZmdDNxlbzJqyiAFM3R92StqePYLB6ZC2SXn2qUqvtQzTuHuURRJWUmYKJW7tj4dgh_rzItaemSXlo3mk1GtN7oweMjKRk3A02Pk8eI7lfleol-TjT_DPbihdbEne4VOFfOOxtR8xWyslfTUpx7uDKqcHmL-XVB-HppIifT8PXNDxwTSmdjeMdBnkZCeNM9XXJBZYpsRWx1bMQoSTPJeQQkQafpP3pSk.1h_nL7oH9tHDg-RcEFYRYuNcDILCx93U5PSKBAmvOF8&amp;dib_tag=se&amp;keywords=pour%2Bover%2Bcoffee%2Bmaker&amp;qid=1778621202&amp;sprefix=por%2Bover%2Caps%2C277&amp;sr=8-4-spons&amp;sp_csd=d2lkZ2V0TmFtZT1zcF9hdGY&amp;th=1&amp;linkCode=ll2&amp;tag=mobile07ee195-20&amp;linkId=28c92a08859e885a3ba77e5ccdabfb30&amp;language=en_US&amp;ref_=as_li_ss_tl</x:v>
      </x:c>
      <x:c r="U17" s="14" t="str">
        <x:v>Amazon title/link supplied in uploaded file; no review claims added.</x:v>
      </x:c>
    </x:row>
    <x:row r="18">
      <x:c r="A18" s="14" t="n">
        <x:v>17</x:v>
      </x:c>
      <x:c r="B18" s="14" t="str">
        <x:v>Pour Over</x:v>
      </x:c>
      <x:c r="C18" s="14" t="str">
        <x:v>Pour-over kit</x:v>
      </x:c>
      <x:c r="D18" s="14" t="str">
        <x:v>Mid estimate</x:v>
      </x:c>
      <x:c r="E18" s="14" t="str">
        <x:v>Low</x:v>
      </x:c>
      <x:c r="F18" s="14" t="str">
        <x:v>Medium</x:v>
      </x:c>
      <x:c r="G18" s="14" t="str">
        <x:v>General home coffee users</x:v>
      </x:c>
      <x:c r="H18" s="14" t="str">
        <x:v>20 oz capacity; 40 oz capacity; thermometer</x:v>
      </x:c>
      <x:c r="I18" s="14" t="str">
        <x:v>Use as a middle option or comparison pick.</x:v>
      </x:c>
      <x:c r="J18" s="14" t="str">
        <x:v>Best Pour Over Coffee Makers and Starter Kits</x:v>
      </x:c>
      <x:c r="K18" s="14" t="str">
        <x:v>Pour Over Coffee Maker Set | Kit Includes 40 OZ Gooseneck Kettle with Thermometer, Coffee Mill ...</x:v>
      </x:c>
      <x:c r="L18" s="14" t="str">
        <x:v>View on Amazon</x:v>
      </x:c>
      <x:c r="M18" s="14" t="str">
        <x:v>Verify current Amazon price, reviews, availability, and exact specs before publishing.</x:v>
      </x:c>
      <x:c r="N18" s="14" t="str">
        <x:v>pour over coffee maker, pour over starter kit, coffee dripper</x:v>
      </x:c>
      <x:c r="O18" s="14" t="str">
        <x:v>https://amzn.to/4tuE3tw</x:v>
      </x:c>
      <x:c r="P18" s="14" t="str">
        <x:v>B07W5WRPNZ</x:v>
      </x:c>
      <x:c r="Q18" s="14" t="str">
        <x:v>pour over coffee maker</x:v>
      </x:c>
      <x:c r="R18" s="14" t="str">
        <x:v>Yes</x:v>
      </x:c>
      <x:c r="S18" s="14" t="str">
        <x:v>Pour Over Coffee Maker Set | Kit Includes 40 OZ Gooseneck Kettle with Thermometer, Coffee Mill Grinder &amp; 20 OZ Coffee Dripper Brewer | Great Replacement for Coffee Machines</x:v>
      </x:c>
      <x:c r="T18" s="14" t="str">
        <x:v>https://www.amazon.com/MITBAK-Gooseneck-Thermometer-Replacement-Excellent/dp/B07W5WRPNZ?crid=19WC53MF44JIT&amp;dib=eyJ2IjoiMSJ9.iIHVJzJMY4I1jbiBlfJOj-FtuWYIYQ6zTQenLe8jzazEjeV7VRjuRLCd02TuhgsbTkEcZGeMjCxXZmdDNxlbzJqyiAFM3R92StqePYLB6ZC2SXn2qUqvtQzTuHuURRJWUmYKJW7tj4dgh_rzItaemSXlo3mk1GtN7oweMjKRk3A02Pk8eI7lfleol-TjT_DPbihdbEne4VOFfOOxtR8xWyslfTUpx7uDKqcHmL-XVB-HppIifT8PXNDxwTSmdjeMdBnkZCeNM9XXJBZYpsRWx1bMQoSTPJeQQkQafpP3pSk.1h_nL7oH9tHDg-RcEFYRYuNcDILCx93U5PSKBAmvOF8&amp;dib_tag=se&amp;keywords=pour+over+coffee+maker&amp;qid=1778621202&amp;sprefix=por+over%2Caps%2C277&amp;sr=8-1-spons&amp;sp_csd=d2lkZ2V0TmFtZT1zcF9hdGY&amp;psc=1&amp;linkCode=ll2&amp;tag=mobile07ee195-20&amp;linkId=d7dc87366acc985451660cb1265b592a&amp;language=en_US&amp;ref_=as_li_ss_tl</x:v>
      </x:c>
      <x:c r="U18" s="14" t="str">
        <x:v>Amazon title/link supplied in uploaded file; no review claims added.</x:v>
      </x:c>
    </x:row>
    <x:row r="19">
      <x:c r="A19" s="14" t="n">
        <x:v>18</x:v>
      </x:c>
      <x:c r="B19" s="14" t="str">
        <x:v>Gooseneck Kettles</x:v>
      </x:c>
      <x:c r="C19" s="14" t="str">
        <x:v>Stovetop gooseneck kettle</x:v>
      </x:c>
      <x:c r="D19" s="14" t="str">
        <x:v>Budget-to-mid estimate</x:v>
      </x:c>
      <x:c r="E19" s="14" t="str">
        <x:v>Low</x:v>
      </x:c>
      <x:c r="F19" s="14" t="str">
        <x:v>Medium</x:v>
      </x:c>
      <x:c r="G19" s="14" t="str">
        <x:v>Simple/manual-brewing users</x:v>
      </x:c>
      <x:c r="H19" s="14" t="str">
        <x:v>thermometer</x:v>
      </x:c>
      <x:c r="I19" s="14" t="str">
        <x:v>Use as the budget/value pick in comparison tables.</x:v>
      </x:c>
      <x:c r="J19" s="14" t="str">
        <x:v>Best Gooseneck Kettles for Pour Over Coffee</x:v>
      </x:c>
      <x:c r="K19" s="14" t="str">
        <x:v>Gooseneck Kettle for Manual Drip Coffee &amp; Tea 40oz Stainless Steel Pour Over Coffee Kettle with...</x:v>
      </x:c>
      <x:c r="L19" s="14" t="str">
        <x:v>View on Amazon</x:v>
      </x:c>
      <x:c r="M19" s="14" t="str">
        <x:v>Confirm electric vs stovetop before comparing features.</x:v>
      </x:c>
      <x:c r="N19" s="14" t="str">
        <x:v>gooseneck kettle, electric gooseneck kettle, pour over kettle</x:v>
      </x:c>
      <x:c r="O19" s="14" t="str">
        <x:v>https://amzn.to/4dkcvku</x:v>
      </x:c>
      <x:c r="P19" s="14" t="str">
        <x:v>B0CRDMC7RS</x:v>
      </x:c>
      <x:c r="Q19" s="14" t="str">
        <x:v>Gooseneck kettle:</x:v>
      </x:c>
      <x:c r="R19" s="14" t="str">
        <x:v>No</x:v>
      </x:c>
      <x:c r="S19" s="14" t="str">
        <x:v>Gooseneck Kettle for Manual Drip Coffee &amp; Tea 40oz Stainless Steel Pour Over Coffee Kettle with Thermometer Tea Kettle for Stovetop,1200ml,6 Cup,Silver,1Pack</x:v>
      </x:c>
      <x:c r="T19" s="14" t="str">
        <x:v>https://www.amazon.com/Kettle-Thermometer-Silver-Gooseneck-Teapot/dp/B0CRDMC7RS?crid=1JF0IT8UZG9VW&amp;dib=eyJ2IjoiMSJ9.gL8FC-PtQZjMmq9m8voYfbA4ffPhkWE9MghU7UHRWimSXjtlKefobDaEJHJnNmZVGaPxeYiVmFY8awhaY9JRNylF6uTR-DgPIoV1yoR3kpQmGYq60Zgwy-NUYowo1VazxBinhpPnxU2hnmELTgiksL-eMGK8VxiPqPMAMtxnG_2hywE88m9PE1EmtW0BmnIA0bg6Q1K5IrS8d7yT5xq2GbKAqm2JBUc8W3SlPfcKWDxpMqspRAP-9MJHIGMG3RrA-iIxBWBkTpMej2Bo45r08f4ZR-xx-mX3VSDzxoONhao._xHqeEwQVrL2RBrkvR5hCCs6a1h7CjPrclm8Hs83H4Q&amp;dib_tag=se&amp;keywords=Gooseneck%2Bkettle%3A&amp;qid=1778621298&amp;sprefix=gooseneck%2Bkettle%2B%2Caps%2C235&amp;sr=8-6&amp;th=1&amp;linkCode=ll2&amp;tag=mobile07ee195-20&amp;linkId=53f0b0b5d9cb021dd1d49e5f580d396c&amp;language=en_US&amp;ref_=as_li_ss_tl</x:v>
      </x:c>
      <x:c r="U19" s="14" t="str">
        <x:v>Amazon title/link supplied in uploaded file; no review claims added.</x:v>
      </x:c>
    </x:row>
    <x:row r="20">
      <x:c r="A20" s="14" t="n">
        <x:v>19</x:v>
      </x:c>
      <x:c r="B20" s="14" t="str">
        <x:v>Gooseneck Kettles</x:v>
      </x:c>
      <x:c r="C20" s="14" t="str">
        <x:v>Electric gooseneck kettle</x:v>
      </x:c>
      <x:c r="D20" s="14" t="str">
        <x:v>Mid-to-premium estimate</x:v>
      </x:c>
      <x:c r="E20" s="14" t="str">
        <x:v>Low</x:v>
      </x:c>
      <x:c r="F20" s="14" t="str">
        <x:v>Medium</x:v>
      </x:c>
      <x:c r="G20" s="14" t="str">
        <x:v>Coffee users who want precision/control</x:v>
      </x:c>
      <x:c r="H20" s="14" t="str">
        <x:v>built-in timer; 0.8 L capacity; temperature control; ±1°F control; 1200W heating; 12H keep warm</x:v>
      </x:c>
      <x:c r="I20" s="14" t="str">
        <x:v>Position as precision gear for people who want more control.</x:v>
      </x:c>
      <x:c r="J20" s="14" t="str">
        <x:v>Best Gooseneck Kettles for Pour Over Coffee</x:v>
      </x:c>
      <x:c r="K20" s="14" t="str">
        <x:v>Gooseneck Electric Kettle HIYAKOI with ±1℉ Temperature Control, Pour Over Kettle for Coffee &amp; T...</x:v>
      </x:c>
      <x:c r="L20" s="14" t="str">
        <x:v>View on Amazon</x:v>
      </x:c>
      <x:c r="M20" s="14" t="str">
        <x:v>Confirm electric vs stovetop before comparing features.</x:v>
      </x:c>
      <x:c r="N20" s="14" t="str">
        <x:v>gooseneck kettle, electric gooseneck kettle, pour over kettle</x:v>
      </x:c>
      <x:c r="O20" s="14" t="str">
        <x:v>https://amzn.to/4uHe9Um</x:v>
      </x:c>
      <x:c r="P20" s="14" t="str">
        <x:v>B0D9NSNKDR</x:v>
      </x:c>
      <x:c r="Q20" s="14" t="str">
        <x:v>Gooseneck kettle:</x:v>
      </x:c>
      <x:c r="R20" s="14" t="str">
        <x:v>Yes</x:v>
      </x:c>
      <x:c r="S20" s="14" t="str">
        <x:v>Gooseneck Electric Kettle HIYAKOI with ±1℉ Temperature Control, Pour Over Kettle for Coffee &amp; Tea, 1200W Rapid Heating, Stainless Steel Water Boiler with 12H Keep Warm &amp; Built-in Timer, 0.8L/27oz</x:v>
      </x:c>
      <x:c r="T20" s="14" t="str">
        <x:v>https://www.amazon.com/Electric-HIYAKOI-Gooseneck-Temperature-Stainless/dp/B0D9NSNKDR?crid=1JF0IT8UZG9VW&amp;dib=eyJ2IjoiMSJ9.gL8FC-PtQZjMmq9m8voYfbA4ffPhkWE9MghU7UHRWimSXjtlKefobDaEJHJnNmZVGaPxeYiVmFY8awhaY9JRNylF6uTR-DgPIoV1yoR3kpQmGYq60Zgwy-NUYowo1VazxBinhpPnxU2hnmELTgiksL-eMGK8VxiPqPMAMtxnG_2hywE88m9PE1EmtW0BmnIA0bg6Q1K5IrS8d7yT5xq2GbKAqm2JBUc8W3SlPfcKWDxpMqspRAP-9MJHIGMG3RrA-iIxBWBkTpMej2Bo45r08f4ZR-xx-mX3VSDzxoONhao._xHqeEwQVrL2RBrkvR5hCCs6a1h7CjPrclm8Hs83H4Q&amp;dib_tag=se&amp;keywords=Gooseneck+kettle%3A&amp;qid=1778621298&amp;sprefix=gooseneck+kettle+%2Caps%2C235&amp;sr=8-1-spons&amp;sp_csd=d2lkZ2V0TmFtZT1zcF9hdGY&amp;psc=1&amp;linkCode=ll2&amp;tag=mobile07ee195-20&amp;linkId=f4afb45ca70403862262c863a6c2d689&amp;language=en_US&amp;ref_=as_li_ss_tl</x:v>
      </x:c>
      <x:c r="U20" s="14" t="str">
        <x:v>Amazon title/link supplied in uploaded file; no review claims added.</x:v>
      </x:c>
    </x:row>
    <x:row r="21">
      <x:c r="A21" s="14" t="n">
        <x:v>20</x:v>
      </x:c>
      <x:c r="B21" s="14" t="str">
        <x:v>Gooseneck Kettles</x:v>
      </x:c>
      <x:c r="C21" s="14" t="str">
        <x:v>Electric gooseneck kettle</x:v>
      </x:c>
      <x:c r="D21" s="14" t="str">
        <x:v>Premium estimate</x:v>
      </x:c>
      <x:c r="E21" s="14" t="str">
        <x:v>Medium</x:v>
      </x:c>
      <x:c r="F21" s="14" t="str">
        <x:v>Medium</x:v>
      </x:c>
      <x:c r="G21" s="14" t="str">
        <x:v>Coffee users who want precision/control</x:v>
      </x:c>
      <x:c r="H21" s="14" t="str">
        <x:v>0.9 L capacity; temperature control; 1500W heating; Artisan Wave design</x:v>
      </x:c>
      <x:c r="I21" s="14" t="str">
        <x:v>Position as precision gear for people who want more control.</x:v>
      </x:c>
      <x:c r="J21" s="14" t="str">
        <x:v>Best Gooseneck Kettles for Pour Over Coffee</x:v>
      </x:c>
      <x:c r="K21" s="14" t="str">
        <x:v>Cocinare Gooseneck Electric Kettle, ±0.5°F Precise Temperature Control, 1500W Fast Heating, Pou...</x:v>
      </x:c>
      <x:c r="L21" s="14" t="str">
        <x:v>View on Amazon</x:v>
      </x:c>
      <x:c r="M21" s="14" t="str">
        <x:v>Confirm electric vs stovetop before comparing features.</x:v>
      </x:c>
      <x:c r="N21" s="14" t="str">
        <x:v>gooseneck kettle, electric gooseneck kettle, pour over kettle</x:v>
      </x:c>
      <x:c r="O21" s="14" t="str">
        <x:v>https://amzn.to/48VuY5I</x:v>
      </x:c>
      <x:c r="P21" s="14" t="str">
        <x:v>B0GD1SWDYV</x:v>
      </x:c>
      <x:c r="Q21" s="14" t="str"/>
      <x:c r="R21" s="14" t="str">
        <x:v>No</x:v>
      </x:c>
      <x:c r="S21" s="14" t="str">
        <x:v>Cocinare Gooseneck Electric Kettle, ±0.5°F Precise Temperature Control, 1500W Fast Heating, Pour-Over Coffee &amp; Tea, Stainless Steel, 0.9L (Artisan Wave Design)</x:v>
      </x:c>
      <x:c r="T21" s="14" t="str">
        <x:v>https://www.amazon.com/gp/aw/d/B0GD1SWDYV?_encoding=UTF8&amp;pd_rd_plhdr=t&amp;aaxitk=fbbb7222ba1b5152177bba9ae20a417e&amp;hsa_cr_id=0&amp;qid=1778621298&amp;sr=1-1-9e67e56a-6f64-441f-a281-df67fc737124&amp;pd_rd_w=NaMCS&amp;content-id=amzn1.sym.2fb72bc8-96ef-420d-b08f-c04b69f36507%3Aamzn1.sym.2fb72bc8-96ef-420d-b08f-c04b69f36507&amp;pf_rd_p=2fb72bc8-96ef-420d-b08f-c04b69f36507&amp;pf_rd_r=GT5KTZ7QV246FD1CBCGK&amp;pd_rd_wg=pKKMo&amp;pd_rd_r=425482ee-6ef0-4e89-9814-d6a54e85e41f&amp;th=1&amp;linkCode=ll2&amp;tag=mobile07ee195-20&amp;linkId=7a4b58bf3fde39136568968b12ccff99&amp;language=en_US&amp;ref_=as_li_ss_tl</x:v>
      </x:c>
      <x:c r="U21" s="14" t="str">
        <x:v>Amazon title/link supplied in uploaded file; no review claims added.</x:v>
      </x:c>
    </x:row>
    <x:row r="22">
      <x:c r="A22" s="14" t="n">
        <x:v>21</x:v>
      </x:c>
      <x:c r="B22" s="14" t="str">
        <x:v>Gooseneck Kettles</x:v>
      </x:c>
      <x:c r="C22" s="14" t="str">
        <x:v>Electric gooseneck kettle</x:v>
      </x:c>
      <x:c r="D22" s="14" t="str">
        <x:v>Premium estimate</x:v>
      </x:c>
      <x:c r="E22" s="14" t="str">
        <x:v>Medium</x:v>
      </x:c>
      <x:c r="F22" s="14" t="str">
        <x:v>Medium</x:v>
      </x:c>
      <x:c r="G22" s="14" t="str">
        <x:v>Coffee users who want precision/control</x:v>
      </x:c>
      <x:c r="H22" s="14" t="str">
        <x:v>0.6 L capacity; temperature control; 1500W heating; color-changing Jungle design</x:v>
      </x:c>
      <x:c r="I22" s="14" t="str">
        <x:v>Position as precision gear for people who want more control.</x:v>
      </x:c>
      <x:c r="J22" s="14" t="str">
        <x:v>Best Gooseneck Kettles for Pour Over Coffee</x:v>
      </x:c>
      <x:c r="K22" s="14" t="str">
        <x:v>Cocinare Gooseneck Electric Kettle, ±0.5°F Precise Temperature Control, 1500W Fast Heating, Pou...</x:v>
      </x:c>
      <x:c r="L22" s="14" t="str">
        <x:v>View on Amazon</x:v>
      </x:c>
      <x:c r="M22" s="14" t="str">
        <x:v>Confirm electric vs stovetop before comparing features.</x:v>
      </x:c>
      <x:c r="N22" s="14" t="str">
        <x:v>gooseneck kettle, electric gooseneck kettle, pour over kettle</x:v>
      </x:c>
      <x:c r="O22" s="14" t="str">
        <x:v>https://amzn.to/4wrzJhy</x:v>
      </x:c>
      <x:c r="P22" s="14" t="str">
        <x:v>B0DQQ1RX85</x:v>
      </x:c>
      <x:c r="Q22" s="14" t="str"/>
      <x:c r="R22" s="14" t="str">
        <x:v>No</x:v>
      </x:c>
      <x:c r="S22" s="14" t="str">
        <x:v>Cocinare Gooseneck Electric Kettle, ±0.5°F Precise Temperature Control, 1500W Fast Heating, Pour-Over Coffee &amp; Tea, Stainless Steel, 0.6L (Color-changing Jungle Design)</x:v>
      </x:c>
      <x:c r="T22" s="14" t="str">
        <x:v>https://www.amazon.com/gp/aw/d/B0DQQ1RX85?_encoding=UTF8&amp;pd_rd_plhdr=t&amp;aaxitk=fbbb7222ba1b5152177bba9ae20a417e&amp;hsa_cr_id=0&amp;qid=1778621298&amp;sr=1-2-9e67e56a-6f64-441f-a281-df67fc737124&amp;pd_rd_w=NaMCS&amp;content-id=amzn1.sym.2fb72bc8-96ef-420d-b08f-c04b69f36507%3Aamzn1.sym.2fb72bc8-96ef-420d-b08f-c04b69f36507&amp;pf_rd_p=2fb72bc8-96ef-420d-b08f-c04b69f36507&amp;pf_rd_r=GT5KTZ7QV246FD1CBCGK&amp;pd_rd_wg=pKKMo&amp;pd_rd_r=425482ee-6ef0-4e89-9814-d6a54e85e41f&amp;th=1&amp;linkCode=ll2&amp;tag=mobile07ee195-20&amp;linkId=e3099fbdb866dd98248e7d00868e6a36&amp;language=en_US&amp;ref_=as_li_ss_tl</x:v>
      </x:c>
      <x:c r="U22" s="14" t="str">
        <x:v>Amazon title/link supplied in uploaded file; no review claims added.</x:v>
      </x:c>
    </x:row>
    <x:row r="23">
      <x:c r="A23" s="14" t="n">
        <x:v>22</x:v>
      </x:c>
      <x:c r="B23" s="14" t="str">
        <x:v>Milk Frothers</x:v>
      </x:c>
      <x:c r="C23" s="14" t="str">
        <x:v>Handheld frother</x:v>
      </x:c>
      <x:c r="D23" s="14" t="str">
        <x:v>Mid-to-premium estimate</x:v>
      </x:c>
      <x:c r="E23" s="14" t="str">
        <x:v>Low</x:v>
      </x:c>
      <x:c r="F23" s="14" t="str">
        <x:v>High</x:v>
      </x:c>
      <x:c r="G23" s="14" t="str">
        <x:v>Travel, camping, office, or small-space setups</x:v>
      </x:c>
      <x:c r="H23" s="14" t="str">
        <x:v>dual coil whisk; portable</x:v>
      </x:c>
      <x:c r="I23" s="14" t="str">
        <x:v>Position as a travel/small-space coffee upgrade.</x:v>
      </x:c>
      <x:c r="J23" s="14" t="str">
        <x:v>Best Milk Frothers for Lattes at Home</x:v>
      </x:c>
      <x:c r="K23" s="14" t="str">
        <x:v>CIRCLE JOY Rechargeable Milk Frother Hanheld, Dual Coil Whisk Head Electric Coffee Frother, Por...</x:v>
      </x:c>
      <x:c r="L23" s="14" t="str">
        <x:v>View on Amazon</x:v>
      </x:c>
      <x:c r="M23" s="14" t="str">
        <x:v>Title contains spelling/wording issues; clean up display name in blog.</x:v>
      </x:c>
      <x:c r="N23" s="14" t="str">
        <x:v>milk frother for latte, handheld milk frother, automatic milk frother</x:v>
      </x:c>
      <x:c r="O23" s="14" t="str">
        <x:v>https://amzn.to/3R48Vno</x:v>
      </x:c>
      <x:c r="P23" s="14" t="str">
        <x:v>B0DPG6SNV1</x:v>
      </x:c>
      <x:c r="Q23" s="14" t="str">
        <x:v>Milk frother</x:v>
      </x:c>
      <x:c r="R23" s="14" t="str">
        <x:v>No</x:v>
      </x:c>
      <x:c r="S23" s="14" t="str">
        <x:v>CIRCLE JOY Rechargeable Milk Frother Hanheld, Dual Coil Whisk Head Electric Coffee Frother, Portable Hand Frother Wand Drink Mixer for Matcha Lattes Cappuccino, Kitchen Gifts, Black</x:v>
      </x:c>
      <x:c r="T23" s="14" t="str">
        <x:v>https://www.amazon.com/CIRCLE-JOY-Rechargeable-Electric-Cappuccino/dp/B0DPG6SNV1?crid=2MNO0K3OREJ5K&amp;dib=eyJ2IjoiMSJ9.vX6-DbZt9AveAcI8TDeR9BZG7mO3rZVHULVWqAmwLT2t_0lkhoX7hjcD-mxJylRVWPmOmjRh8DYWwrVKKAmDx_7PCt25GaIDeOoK7zVDuvwCJy22UH7TpBnpYok4I5igH0DEVmqMBOwYOEuKod1cWCN8tKjeiQXTPogSSTNcE_ygs6JM_n_bk5QwHon7YZSFebtnW27jyUpJrzuuu8x4AnmrbUhb-zT2406fkSeBVH3IGGTReJLy9Zgl-TJtnu1F4XbaSMWiQMUCs11h2xngymGzYzYJku2Vt5tTOarI6sk.D59R7jwvCwpVVc4HRHOZd554rWIcDW9NR-g6J2wcNeg&amp;dib_tag=se&amp;keywords=Milk%2Bfrother&amp;qid=1778621501&amp;sprefix=milk%2Bfrother%2Caps%2C196&amp;sr=8-6&amp;th=1&amp;linkCode=ll2&amp;tag=mobile07ee195-20&amp;linkId=8a1bfc02b005db43361ddcc03a0ea4a7&amp;language=en_US&amp;ref_=as_li_ss_tl</x:v>
      </x:c>
      <x:c r="U23" s="14" t="str">
        <x:v>Amazon title/link supplied in uploaded file; no review claims added.</x:v>
      </x:c>
    </x:row>
    <x:row r="24">
      <x:c r="A24" s="14" t="n">
        <x:v>23</x:v>
      </x:c>
      <x:c r="B24" s="14" t="str">
        <x:v>Milk Frothers</x:v>
      </x:c>
      <x:c r="C24" s="14" t="str">
        <x:v>Handheld frother</x:v>
      </x:c>
      <x:c r="D24" s="14" t="str">
        <x:v>Mid-to-premium estimate</x:v>
      </x:c>
      <x:c r="E24" s="14" t="str">
        <x:v>Low</x:v>
      </x:c>
      <x:c r="F24" s="14" t="str">
        <x:v>High</x:v>
      </x:c>
      <x:c r="G24" s="14" t="str">
        <x:v>Convenience-focused buyers</x:v>
      </x:c>
      <x:c r="H24" s="14" t="str">
        <x:v>3 heads; 3 speeds</x:v>
      </x:c>
      <x:c r="I24" s="14" t="str">
        <x:v>Use as a middle option or comparison pick.</x:v>
      </x:c>
      <x:c r="J24" s="14" t="str">
        <x:v>Best Milk Frothers for Lattes at Home</x:v>
      </x:c>
      <x:c r="K24" s="14" t="str">
        <x:v>YUSWKO Beige Handheld Milk Frother Wand for Coffee, Rechargeable Electric Whisk with 3 Heads 3 ...</x:v>
      </x:c>
      <x:c r="L24" s="14" t="str">
        <x:v>View on Amazon</x:v>
      </x:c>
      <x:c r="M24" s="14" t="str">
        <x:v>Verify current Amazon price, reviews, availability, and exact specs before publishing.</x:v>
      </x:c>
      <x:c r="N24" s="14" t="str">
        <x:v>milk frother for latte, handheld milk frother, automatic milk frother</x:v>
      </x:c>
      <x:c r="O24" s="14" t="str">
        <x:v>https://amzn.to/3R2ZMvj</x:v>
      </x:c>
      <x:c r="P24" s="14" t="str">
        <x:v>B0CZ8636QT</x:v>
      </x:c>
      <x:c r="Q24" s="14" t="str">
        <x:v>Milk frother</x:v>
      </x:c>
      <x:c r="R24" s="14" t="str">
        <x:v>Yes</x:v>
      </x:c>
      <x:c r="S24" s="14" t="str">
        <x:v>YUSWKO Beige Handheld Milk Frother Wand for Coffee, Rechargeable Electric Whisk with 3 Heads 3 Speeds Drink Mixer Coffee Frother For Latte, Cappuccino, Hot Chocolate, Egg</x:v>
      </x:c>
      <x:c r="T24" s="14" t="str">
        <x:v>https://www.amazon.com/YUSWKO-Handheld-Rechargeable-Cappuccino-Chocolate/dp/B0CZ8636QT?crid=2MNO0K3OREJ5K&amp;dib=eyJ2IjoiMSJ9.vX6-DbZt9AveAcI8TDeR9BZG7mO3rZVHULVWqAmwLT2t_0lkhoX7hjcD-mxJylRVWPmOmjRh8DYWwrVKKAmDx_7PCt25GaIDeOoK7zVDuvwCJy22UH7TpBnpYok4I5igH0DEVmqMBOwYOEuKod1cWCN8tKjeiQXTPogSSTNcE_ygs6JM_n_bk5QwHon7YZSFebtnW27jyUpJrzuuu8x4AnmrbUhb-zT2406fkSeBVH3IGGTReJLy9Zgl-TJtnu1F4XbaSMWiQMUCs11h2xngymGzYzYJku2Vt5tTOarI6sk.D59R7jwvCwpVVc4HRHOZd554rWIcDW9NR-g6J2wcNeg&amp;dib_tag=se&amp;keywords=Milk%2Bfrother&amp;qid=1778621501&amp;sprefix=milk%2Bfrother%2Caps%2C196&amp;sr=8-2-spons&amp;sp_csd=d2lkZ2V0TmFtZT1zcF9hdGY&amp;th=1&amp;linkCode=ll2&amp;tag=mobile07ee195-20&amp;linkId=8563f0d9eaef7a7c8f73eb6938906599&amp;language=en_US&amp;ref_=as_li_ss_tl</x:v>
      </x:c>
      <x:c r="U24" s="14" t="str">
        <x:v>Amazon title/link supplied in uploaded file; no review claims added.</x:v>
      </x:c>
    </x:row>
    <x:row r="25">
      <x:c r="A25" s="14" t="n">
        <x:v>24</x:v>
      </x:c>
      <x:c r="B25" s="14" t="str">
        <x:v>Milk Frothers</x:v>
      </x:c>
      <x:c r="C25" s="14" t="str">
        <x:v>Handheld frother</x:v>
      </x:c>
      <x:c r="D25" s="14" t="str">
        <x:v>Premium estimate</x:v>
      </x:c>
      <x:c r="E25" s="14" t="str">
        <x:v>Medium</x:v>
      </x:c>
      <x:c r="F25" s="14" t="str">
        <x:v>High</x:v>
      </x:c>
      <x:c r="G25" s="14" t="str">
        <x:v>General home coffee users</x:v>
      </x:c>
      <x:c r="H25" s="14" t="str">
        <x:v>USB-C rechargeable; IP4 waterproof; dual-speed; microfoam in 30 seconds</x:v>
      </x:c>
      <x:c r="I25" s="14" t="str">
        <x:v>Use as the premium/upgrade pick in comparison tables.</x:v>
      </x:c>
      <x:c r="J25" s="14" t="str">
        <x:v>Best Milk Frothers for Lattes at Home</x:v>
      </x:c>
      <x:c r="K25" s="14" t="str">
        <x:v>Subminimal NanoFoamer Lithium Performance Milk Foamer | USB-C Rechargeable, IP4 Waterproof, Dua...</x:v>
      </x:c>
      <x:c r="L25" s="14" t="str">
        <x:v>View on Amazon</x:v>
      </x:c>
      <x:c r="M25" s="14" t="str">
        <x:v>Verify current Amazon price, reviews, availability, and exact specs before publishing.</x:v>
      </x:c>
      <x:c r="N25" s="14" t="str">
        <x:v>milk frother for latte, handheld milk frother, automatic milk frother</x:v>
      </x:c>
      <x:c r="O25" s="14" t="str">
        <x:v>https://amzn.to/3R49622</x:v>
      </x:c>
      <x:c r="P25" s="14" t="str">
        <x:v>B0B5LMQXXH</x:v>
      </x:c>
      <x:c r="Q25" s="14" t="str">
        <x:v>Milk frother</x:v>
      </x:c>
      <x:c r="R25" s="14" t="str">
        <x:v>Yes</x:v>
      </x:c>
      <x:c r="S25" s="14" t="str">
        <x:v>Subminimal NanoFoamer Lithium Performance Milk Foamer | USB-C Rechargeable, IP4 Waterproof, Dual-Speed, Stainless Steel | Premium Microfoamed Milk in 30 Seconds, Barista-Style Coffee Drinks at Home</x:v>
      </x:c>
      <x:c r="T25" s="14" t="str">
        <x:v>https://www.amazon.com/Subminimal-Performance-Rechargeable-Microfoamed-Barista-Style/dp/B0B5LMQXXH?crid=2MNO0K3OREJ5K&amp;dib=eyJ2IjoiMSJ9.vX6-DbZt9AveAcI8TDeR9BZG7mO3rZVHULVWqAmwLT2t_0lkhoX7hjcD-mxJylRVWPmOmjRh8DYWwrVKKAmDx_7PCt25GaIDeOoK7zVDuvwCJy22UH7TpBnpYok4I5igH0DEVmqMBOwYOEuKod1cWCN8tKjeiQXTPogSSTNcE_ygs6JM_n_bk5QwHon7YZSFebtnW27jyUpJrzuuu8x4AnmrbUhb-zT2406fkSeBVH3IGGTReJLy9Zgl-TJtnu1F4XbaSMWiQMUCs11h2xngymGzYzYJku2Vt5tTOarI6sk.D59R7jwvCwpVVc4HRHOZd554rWIcDW9NR-g6J2wcNeg&amp;dib_tag=se&amp;keywords=Milk%2Bfrother&amp;qid=1778621501&amp;sprefix=milk%2Bfrother%2Caps%2C196&amp;sr=8-4-spons&amp;sp_csd=d2lkZ2V0TmFtZT1zcF9hdGY&amp;th=1&amp;linkCode=ll2&amp;tag=mobile07ee195-20&amp;linkId=fd109d2719e6ac684adbd5384503d85a&amp;language=en_US&amp;ref_=as_li_ss_tl</x:v>
      </x:c>
      <x:c r="U25" s="14" t="str">
        <x:v>Amazon title/link supplied in uploaded file; no review claims added.</x:v>
      </x:c>
    </x:row>
    <x:row r="26">
      <x:c r="A26" s="14" t="n">
        <x:v>25</x:v>
      </x:c>
      <x:c r="B26" s="14" t="str">
        <x:v>Milk Frothers</x:v>
      </x:c>
      <x:c r="C26" s="14" t="str">
        <x:v>Automatic frother/steamer</x:v>
      </x:c>
      <x:c r="D26" s="14" t="str">
        <x:v>Budget estimate</x:v>
      </x:c>
      <x:c r="E26" s="14" t="str">
        <x:v>Low</x:v>
      </x:c>
      <x:c r="F26" s="14" t="str">
        <x:v>High</x:v>
      </x:c>
      <x:c r="G26" s="14" t="str">
        <x:v>Convenience-focused buyers</x:v>
      </x:c>
      <x:c r="H26" s="14" t="str">
        <x:v>4-in-1</x:v>
      </x:c>
      <x:c r="I26" s="14" t="str">
        <x:v>Use as the budget/value pick in comparison tables.</x:v>
      </x:c>
      <x:c r="J26" s="14" t="str">
        <x:v>Best Milk Frothers for Lattes at Home</x:v>
      </x:c>
      <x:c r="K26" s="14" t="str">
        <x:v>SIMPLETASTE Milk Frother, 4-in-1 Electric Milk Frother and Steamer, Automatic Warm and Cold Foa...</x:v>
      </x:c>
      <x:c r="L26" s="14" t="str">
        <x:v>View on Amazon</x:v>
      </x:c>
      <x:c r="M26" s="14" t="str">
        <x:v>Verify current Amazon price, reviews, availability, and exact specs before publishing.</x:v>
      </x:c>
      <x:c r="N26" s="14" t="str">
        <x:v>milk frother for latte, handheld milk frother, automatic milk frother</x:v>
      </x:c>
      <x:c r="O26" s="14" t="str">
        <x:v>https://amzn.to/4d4VvA6</x:v>
      </x:c>
      <x:c r="P26" s="14" t="str">
        <x:v>B0FVXHV6GP</x:v>
      </x:c>
      <x:c r="Q26" s="14" t="str">
        <x:v>Milk frother</x:v>
      </x:c>
      <x:c r="R26" s="14" t="str">
        <x:v>No</x:v>
      </x:c>
      <x:c r="S26" s="14" t="str">
        <x:v>SIMPLETASTE Milk Frother, 4-in-1 Electric Milk Frother and Steamer, Automatic Warm and Cold Foam Maker and Milk Warmer for Latte, Cappuccinos, Dark Blue</x:v>
      </x:c>
      <x:c r="T26" s="14" t="str">
        <x:v>https://www.amazon.com/SIMPLETASTE-Frother-Electric-Automatic-Cappuccinos/dp/B0FVXHV6GP?crid=2MNO0K3OREJ5K&amp;dib=eyJ2IjoiMSJ9.vX6-DbZt9AveAcI8TDeR9BZG7mO3rZVHULVWqAmwLT2t_0lkhoX7hjcD-mxJylRVWPmOmjRh8DYWwrVKKAmDx_7PCt25GaIDeOoK7zVDuvwCJy22UH7TpBnpYok4I5igH0DEVmqMBOwYOEuKod1cWCN8tKjeiQXTPogSSTNcE_ygs6JM_n_bk5QwHon7YZSFebtnW27jyUpJrzuuu8x4AnmrbUhb-zT2406fkSeBVH3IGGTReJLy9Zgl-TJtnu1F4XbaSMWiQMUCs11h2xngymGzYzYJku2Vt5tTOarI6sk.D59R7jwvCwpVVc4HRHOZd554rWIcDW9NR-g6J2wcNeg&amp;dib_tag=se&amp;keywords=Milk%2Bfrother&amp;qid=1778621501&amp;sprefix=milk%2Bfrother%2Caps%2C196&amp;sr=8-8&amp;th=1&amp;linkCode=ll2&amp;tag=mobile07ee195-20&amp;linkId=fc645e493b6fd14bdc40e21da95aba4c&amp;language=en_US&amp;ref_=as_li_ss_tl</x:v>
      </x:c>
      <x:c r="U26" s="14" t="str">
        <x:v>Amazon title/link supplied in uploaded file; no review claims added.</x:v>
      </x:c>
    </x:row>
    <x:row r="27">
      <x:c r="A27" s="14" t="n">
        <x:v>26</x:v>
      </x:c>
      <x:c r="B27" s="14" t="str">
        <x:v>Milk Frothers</x:v>
      </x:c>
      <x:c r="C27" s="14" t="str">
        <x:v>Automatic frother/steamer</x:v>
      </x:c>
      <x:c r="D27" s="14" t="str">
        <x:v>Mid-to-premium estimate</x:v>
      </x:c>
      <x:c r="E27" s="14" t="str">
        <x:v>Low</x:v>
      </x:c>
      <x:c r="F27" s="14" t="str">
        <x:v>High</x:v>
      </x:c>
      <x:c r="G27" s="14" t="str">
        <x:v>Convenience-focused buyers</x:v>
      </x:c>
      <x:c r="H27" s="14" t="str">
        <x:v>21 oz capacity; 8-in-1; split stainless steel design</x:v>
      </x:c>
      <x:c r="I27" s="14" t="str">
        <x:v>Use as a middle option or comparison pick.</x:v>
      </x:c>
      <x:c r="J27" s="14" t="str">
        <x:v>Best Milk Frothers for Lattes at Home</x:v>
      </x:c>
      <x:c r="K27" s="14" t="str">
        <x:v>AMZCHEF 8-IN-1 Milk Frother and Steamer 550 Watts, 21 oz Split Stainless Steel Automatic Steame...</x:v>
      </x:c>
      <x:c r="L27" s="14" t="str">
        <x:v>View on Amazon</x:v>
      </x:c>
      <x:c r="M27" s="14" t="str">
        <x:v>Verify current Amazon price, reviews, availability, and exact specs before publishing.</x:v>
      </x:c>
      <x:c r="N27" s="14" t="str">
        <x:v>milk frother for latte, handheld milk frother, automatic milk frother</x:v>
      </x:c>
      <x:c r="O27" s="14" t="str">
        <x:v>https://amzn.to/3PoXQfY</x:v>
      </x:c>
      <x:c r="P27" s="14" t="str">
        <x:v>B0CLLPJRTV</x:v>
      </x:c>
      <x:c r="Q27" s="14" t="str">
        <x:v>Milk frother</x:v>
      </x:c>
      <x:c r="R27" s="14" t="str">
        <x:v>Yes</x:v>
      </x:c>
      <x:c r="S27" s="14" t="str">
        <x:v>AMZCHEF 8-IN-1 Milk Frother and Steamer 550 Watts, 21 oz Split Stainless Steel Automatic Steamer, Milk's Warmer for Latte, Cappuccino, Hot and Cold Froth, Heated Milk, Hot Chocolate, Baby Food, Black</x:v>
      </x:c>
      <x:c r="T27" s="14" t="str">
        <x:v>https://www.amazon.com/AMZCHEF-Multifunctional-Automatic-Stainless-Chocolate/dp/B0CLLPJRTV?crid=2MNO0K3OREJ5K&amp;dib=eyJ2IjoiMSJ9.vX6-DbZt9AveAcI8TDeR9BZG7mO3rZVHULVWqAmwLT2t_0lkhoX7hjcD-mxJylRVWPmOmjRh8DYWwrVKKAmDx_7PCt25GaIDeOoK7zVDuvwCJy22UH7TpBnpYok4I5igH0DEVmqMBOwYOEuKod1cWCN8tKjeiQXTPogSSTNcE_ygs6JM_n_bk5QwHon7YZSFebtnW27jyUpJrzuuu8x4AnmrbUhb-zT2406fkSeBVH3IGGTReJLy9Zgl-TJtnu1F4XbaSMWiQMUCs11h2xngymGzYzYJku2Vt5tTOarI6sk.D59R7jwvCwpVVc4HRHOZd554rWIcDW9NR-g6J2wcNeg&amp;dib_tag=se&amp;keywords=Milk%2Bfrother&amp;qid=1778621501&amp;sprefix=milk%2Bfrother%2Caps%2C196&amp;sr=8-1-spons&amp;sp_csd=d2lkZ2V0TmFtZT1zcF9hdGY&amp;th=1&amp;linkCode=ll2&amp;tag=mobile07ee195-20&amp;linkId=428fadcd393e1893193bee93c7d4a7d5&amp;language=en_US&amp;ref_=as_li_ss_tl</x:v>
      </x:c>
      <x:c r="U27" s="14" t="str">
        <x:v>Amazon title/link supplied in uploaded file; no review claims added.</x:v>
      </x:c>
    </x:row>
    <x:row r="28">
      <x:c r="A28" s="14" t="n">
        <x:v>27</x:v>
      </x:c>
      <x:c r="B28" s="14" t="str">
        <x:v>Coffee Storage</x:v>
      </x:c>
      <x:c r="C28" s="14" t="str">
        <x:v>Airtight storage container</x:v>
      </x:c>
      <x:c r="D28" s="14" t="str">
        <x:v>Mid estimate</x:v>
      </x:c>
      <x:c r="E28" s="14" t="str">
        <x:v>Low</x:v>
      </x:c>
      <x:c r="F28" s="14" t="str">
        <x:v>Medium</x:v>
      </x:c>
      <x:c r="G28" s="14" t="str">
        <x:v>General home coffee users</x:v>
      </x:c>
      <x:c r="H28" s="14" t="str">
        <x:v>wide-mouth jar</x:v>
      </x:c>
      <x:c r="I28" s="14" t="str">
        <x:v>Use as a middle option or comparison pick.</x:v>
      </x:c>
      <x:c r="J28" s="14" t="str">
        <x:v>Best Coffee Storage Containers for Fresh Beans</x:v>
      </x:c>
      <x:c r="K28" s="14" t="str">
        <x:v>Airtight Coffee Bean Storage Container with Silicone Ring, Twist Seal Glass Storage Jars with l...</x:v>
      </x:c>
      <x:c r="L28" s="14" t="str">
        <x:v>View on Amazon</x:v>
      </x:c>
      <x:c r="M28" s="14" t="str">
        <x:v>Verify actual capacity and whether it fits whole beans vs grounds.</x:v>
      </x:c>
      <x:c r="N28" s="14" t="str">
        <x:v>coffee storage container, airtight coffee canister, coffee bean storage</x:v>
      </x:c>
      <x:c r="O28" s="14" t="str">
        <x:v>https://amzn.to/4eEnBTW</x:v>
      </x:c>
      <x:c r="P28" s="14" t="str">
        <x:v>B0GL7LFXX6</x:v>
      </x:c>
      <x:c r="Q28" s="14" t="str">
        <x:v>Coffee storage container</x:v>
      </x:c>
      <x:c r="R28" s="14" t="str">
        <x:v>Yes</x:v>
      </x:c>
      <x:c r="S28" s="14" t="str">
        <x:v>Airtight Coffee Bean Storage Container with Silicone Ring, Twist Seal Glass Storage Jars with lids, 500ml/17oz Wide Mouth Food Jars &amp; Canisters for Coffee Grounds, Creamer, Candy, Flour Sugar</x:v>
      </x:c>
      <x:c r="T28" s="14" t="str">
        <x:v>https://www.amazon.com/NUZEAK-Airtight-Container-Silicone-Canisters/dp/B0GL7LFXX6?crid=1BYTIKG8NA5MR&amp;dib=eyJ2IjoiMSJ9.hkqGoCfM-l5I45icOtWcKFEv6QfNIiRnFTbS0q0fSWz-_6vI2j21yW2v7ybDAnp3UpgYWDac65vdUx_4fhmR6BJabBwZ1TDnaEJEn-K1GSRaXk1SsO7lv5ASQ0nNFXENlu--_mYDpytb2DLHWfhFxjwVvh2mG5hUjQF5EKne76OVDJ8HDkNWU5lVG1xV7hHILsXNTrWHmK82NuqnSEeDoInOh6fWfIZnTDb9n_e4_uyKp6MKib28r6N377REd1SWETdaNzsANplW3eKl5ohQsUTRGQuWwsLinXo8XJfu7UM.jImwaIAecGKDsCw0EM1caDvSHiaC954BbBfXWKsp5SQ&amp;dib_tag=se&amp;keywords=Coffee%2Bstorage%2Bcontainer&amp;qid=1778621777&amp;sprefix=coffee%2Bstorage%2Bcontainer%2Caps%2C214&amp;sr=8-3-spons&amp;sp_csd=d2lkZ2V0TmFtZT1zcF9hdGY&amp;th=1&amp;linkCode=ll2&amp;tag=mobile07ee195-20&amp;linkId=c2829afd8dd549fc10bb4a169f7f7dd0&amp;language=en_US&amp;ref_=as_li_ss_tl</x:v>
      </x:c>
      <x:c r="U28" s="14" t="str">
        <x:v>Amazon title/link supplied in uploaded file; no review claims added.</x:v>
      </x:c>
    </x:row>
    <x:row r="29">
      <x:c r="A29" s="14" t="n">
        <x:v>28</x:v>
      </x:c>
      <x:c r="B29" s="14" t="str">
        <x:v>Coffee Storage</x:v>
      </x:c>
      <x:c r="C29" s="14" t="str">
        <x:v>Coffee container set</x:v>
      </x:c>
      <x:c r="D29" s="14" t="str">
        <x:v>Mid-to-premium estimate</x:v>
      </x:c>
      <x:c r="E29" s="14" t="str">
        <x:v>Low</x:v>
      </x:c>
      <x:c r="F29" s="14" t="str">
        <x:v>Medium</x:v>
      </x:c>
      <x:c r="G29" s="14" t="str">
        <x:v>General home coffee users</x:v>
      </x:c>
      <x:c r="H29" s="14" t="str">
        <x:v>LED display/control; scoop included; label included; holds 1 lb</x:v>
      </x:c>
      <x:c r="I29" s="14" t="str">
        <x:v>Use as a middle option or comparison pick.</x:v>
      </x:c>
      <x:c r="J29" s="14" t="str">
        <x:v>Best Coffee Storage Containers for Fresh Beans</x:v>
      </x:c>
      <x:c r="K29" s="14" t="str">
        <x:v>STYLED SETTINGS Coffee Storage Container - Airtight Vacuum Coffee Canister with Scoop and Label...</x:v>
      </x:c>
      <x:c r="L29" s="14" t="str">
        <x:v>View on Amazon</x:v>
      </x:c>
      <x:c r="M29" s="14" t="str">
        <x:v>Verify actual capacity and whether it fits whole beans vs grounds.</x:v>
      </x:c>
      <x:c r="N29" s="14" t="str">
        <x:v>coffee storage container, airtight coffee canister, coffee bean storage</x:v>
      </x:c>
      <x:c r="O29" s="14" t="str">
        <x:v>https://amzn.to/433J7KF</x:v>
      </x:c>
      <x:c r="P29" s="14" t="str">
        <x:v>B0FSFLXSXQ</x:v>
      </x:c>
      <x:c r="Q29" s="14" t="str"/>
      <x:c r="R29" s="14" t="str">
        <x:v>No</x:v>
      </x:c>
      <x:c r="S29" s="14" t="str">
        <x:v>STYLED SETTINGS Coffee Storage Container - Airtight Vacuum Coffee Canister with Scoop and Label - Matte Black Canister Holds 1lb Beans or Grounds, Dual-Lid Freshness System - Perfect for Gifting</x:v>
      </x:c>
      <x:c r="T29" s="14" t="str">
        <x:v>https://www.amazon.com/dp/B0FSFLXSXQ?_encoding=UTF8&amp;pd_rd_i=B0FSFLXSXQ&amp;qid=1778621777&amp;pd_rd_w=rA9p8&amp;content-id=amzn1.sym.2fb72bc8-96ef-420d-b08f-c04b69f36507%3Aamzn1.sym.2fb72bc8-96ef-420d-b08f-c04b69f36507&amp;pf_rd_p=2fb72bc8-96ef-420d-b08f-c04b69f36507&amp;pf_rd_r=MJ4TCZ88FQJ11S8W0KFD&amp;pd_rd_wg=Pf4pJ&amp;pd_rd_r=4df4975c-bdf6-4d8e-8674-0dfd58991b09&amp;pd_rd_plhdr=t&amp;th=1&amp;linkCode=ll2&amp;tag=mobile07ee195-20&amp;linkId=4b5a6f843049992db5f43585aa35f0c8&amp;language=en_US&amp;ref_=as_li_ss_tl</x:v>
      </x:c>
      <x:c r="U29" s="14" t="str">
        <x:v>Amazon title/link supplied in uploaded file; no review claims added.</x:v>
      </x:c>
    </x:row>
    <x:row r="30">
      <x:c r="A30" s="14" t="n">
        <x:v>29</x:v>
      </x:c>
      <x:c r="B30" s="14" t="str">
        <x:v>Coffee Storage</x:v>
      </x:c>
      <x:c r="C30" s="14" t="str">
        <x:v>Coffee container set</x:v>
      </x:c>
      <x:c r="D30" s="14" t="str">
        <x:v>Budget-to-mid estimate</x:v>
      </x:c>
      <x:c r="E30" s="14" t="str">
        <x:v>Low</x:v>
      </x:c>
      <x:c r="F30" s="14" t="str">
        <x:v>Medium</x:v>
      </x:c>
      <x:c r="G30" s="14" t="str">
        <x:v>General home coffee users</x:v>
      </x:c>
      <x:c r="H30" s="14" t="str">
        <x:v>scoop included</x:v>
      </x:c>
      <x:c r="I30" s="14" t="str">
        <x:v>Use as the budget/value pick in comparison tables.</x:v>
      </x:c>
      <x:c r="J30" s="14" t="str">
        <x:v>Best Coffee Storage Containers for Fresh Beans</x:v>
      </x:c>
      <x:c r="K30" s="14" t="str">
        <x:v>Yangbaga Ground Coffee Storage Container with Shelf, 2×45OZ Glass Coffee and Sugar Container Se...</x:v>
      </x:c>
      <x:c r="L30" s="14" t="str">
        <x:v>View on Amazon</x:v>
      </x:c>
      <x:c r="M30" s="14" t="str">
        <x:v>Verify actual capacity and whether it fits whole beans vs grounds.</x:v>
      </x:c>
      <x:c r="N30" s="14" t="str">
        <x:v>coffee storage container, airtight coffee canister, coffee bean storage</x:v>
      </x:c>
      <x:c r="O30" s="14" t="str">
        <x:v>https://amzn.to/4eIYC1M</x:v>
      </x:c>
      <x:c r="P30" s="14" t="str">
        <x:v>B097PF1R44</x:v>
      </x:c>
      <x:c r="Q30" s="14" t="str">
        <x:v>Coffee storage container</x:v>
      </x:c>
      <x:c r="R30" s="14" t="str">
        <x:v>No</x:v>
      </x:c>
      <x:c r="S30" s="14" t="str">
        <x:v>Yangbaga Ground Coffee Storage Container with Shelf, 2×45OZ Glass Coffee and Sugar Container Set, Coffee Canisters with Airtight Lids and Scoop, Food Storage Jars for Kitchen,Nuts,Tea,Sugar</x:v>
      </x:c>
      <x:c r="T30" s="14" t="str">
        <x:v>https://www.amazon.com/Yangbaga-Containers-Storage-Airtight-Capacity/dp/B097PF1R44?crid=1BYTIKG8NA5MR&amp;dib=eyJ2IjoiMSJ9.hkqGoCfM-l5I45icOtWcKFEv6QfNIiRnFTbS0q0fSWz-_6vI2j21yW2v7ybDAnp3UpgYWDac65vdUx_4fhmR6BJabBwZ1TDnaEJEn-K1GSRaXk1SsO7lv5ASQ0nNFXENlu--_mYDpytb2DLHWfhFxjwVvh2mG5hUjQF5EKne76OVDJ8HDkNWU5lVG1xV7hHILsXNTrWHmK82NuqnSEeDoInOh6fWfIZnTDb9n_e4_uyKp6MKib28r6N377REd1SWETdaNzsANplW3eKl5ohQsUTRGQuWwsLinXo8XJfu7UM.jImwaIAecGKDsCw0EM1caDvSHiaC954BbBfXWKsp5SQ&amp;dib_tag=se&amp;keywords=Coffee%2Bstorage%2Bcontainer&amp;qid=1778621777&amp;sprefix=coffee%2Bstorage%2Bcontainer%2Caps%2C214&amp;sr=8-19&amp;th=1&amp;linkCode=ll2&amp;tag=mobile07ee195-20&amp;linkId=0d757a890d086eaeaa29c33ab4c89a46&amp;language=en_US&amp;ref_=as_li_ss_tl</x:v>
      </x:c>
      <x:c r="U30" s="14" t="str">
        <x:v>Amazon title/link supplied in uploaded file; no review claims added.</x:v>
      </x:c>
    </x:row>
    <x:row r="31">
      <x:c r="A31" s="14" t="n">
        <x:v>30</x:v>
      </x:c>
      <x:c r="B31" s="14" t="str">
        <x:v>Coffee Storage</x:v>
      </x:c>
      <x:c r="C31" s="14" t="str">
        <x:v>Vacuum coffee canister</x:v>
      </x:c>
      <x:c r="D31" s="14" t="str">
        <x:v>Mid-to-premium estimate</x:v>
      </x:c>
      <x:c r="E31" s="14" t="str">
        <x:v>Low</x:v>
      </x:c>
      <x:c r="F31" s="14" t="str">
        <x:v>Medium</x:v>
      </x:c>
      <x:c r="G31" s="14" t="str">
        <x:v>General home coffee users</x:v>
      </x:c>
      <x:c r="H31" s="14" t="str">
        <x:v>Basic feature set; verify product details</x:v>
      </x:c>
      <x:c r="I31" s="14" t="str">
        <x:v>Use as a middle option or comparison pick.</x:v>
      </x:c>
      <x:c r="J31" s="14" t="str">
        <x:v>Best Coffee Storage Containers for Fresh Beans</x:v>
      </x:c>
      <x:c r="K31" s="14" t="str">
        <x:v>Vacuum Coffee Canister, Stainless Steel Airtight Coffee Storage Container, Coffee Container for...</x:v>
      </x:c>
      <x:c r="L31" s="14" t="str">
        <x:v>View on Amazon</x:v>
      </x:c>
      <x:c r="M31" s="14" t="str">
        <x:v>Verify actual capacity and whether it fits whole beans vs grounds.</x:v>
      </x:c>
      <x:c r="N31" s="14" t="str">
        <x:v>coffee storage container, airtight coffee canister, coffee bean storage</x:v>
      </x:c>
      <x:c r="O31" s="14" t="str">
        <x:v>https://amzn.to/4uEunO5</x:v>
      </x:c>
      <x:c r="P31" s="14" t="str">
        <x:v>B0DX1JJWZM</x:v>
      </x:c>
      <x:c r="Q31" s="14" t="str">
        <x:v>Coffee storage container</x:v>
      </x:c>
      <x:c r="R31" s="14" t="str">
        <x:v>Yes</x:v>
      </x:c>
      <x:c r="S31" s="14" t="str">
        <x:v>Vacuum Coffee Canister, Stainless Steel Airtight Coffee Storage Container, Coffee Container for 12oz Coffee Beans, Coffee Beans Storage, 34 fl.oz</x:v>
      </x:c>
      <x:c r="T31" s="14" t="str">
        <x:v>https://www.amazon.com/GAIAKALLON-Coffee-Canister-Stainless-Container/dp/B0DX1JJWZM?crid=1BYTIKG8NA5MR&amp;dib=eyJ2IjoiMSJ9.hkqGoCfM-l5I45icOtWcKFEv6QfNIiRnFTbS0q0fSWz-_6vI2j21yW2v7ybDAnp3UpgYWDac65vdUx_4fhmR6BJabBwZ1TDnaEJEn-K1GSRaXk1SsO7lv5ASQ0nNFXENlu--_mYDpytb2DLHWfhFxjwVvh2mG5hUjQF5EKne76OVDJ8HDkNWU5lVG1xV7hHILsXNTrWHmK82NuqnSEeDoInOh6fWfIZnTDb9n_e4_uyKp6MKib28r6N377REd1SWETdaNzsANplW3eKl5ohQsUTRGQuWwsLinXo8XJfu7UM.jImwaIAecGKDsCw0EM1caDvSHiaC954BbBfXWKsp5SQ&amp;dib_tag=se&amp;keywords=Coffee%2Bstorage%2Bcontainer&amp;qid=1778621777&amp;sprefix=coffee%2Bstorage%2Bcontainer%2Caps%2C214&amp;sr=8-21-spons&amp;sp_csd=d2lkZ2V0TmFtZT1zcF9tdGY&amp;th=1&amp;linkCode=ll2&amp;tag=mobile07ee195-20&amp;linkId=890730ee7ba03e4dd2d07f3ce5014b7a&amp;language=en_US&amp;ref_=as_li_ss_tl</x:v>
      </x:c>
      <x:c r="U31" s="14" t="str">
        <x:v>Amazon title/link supplied in uploaded file; no review claims added.</x:v>
      </x:c>
    </x:row>
    <x:row r="32">
      <x:c r="A32" s="14" t="n">
        <x:v>31</x:v>
      </x:c>
      <x:c r="B32" s="14" t="str">
        <x:v>Coffee Storage</x:v>
      </x:c>
      <x:c r="C32" s="14" t="str">
        <x:v>Feature-rich coffee canister</x:v>
      </x:c>
      <x:c r="D32" s="14" t="str">
        <x:v>Budget-to-mid estimate</x:v>
      </x:c>
      <x:c r="E32" s="14" t="str">
        <x:v>Low</x:v>
      </x:c>
      <x:c r="F32" s="14" t="str">
        <x:v>Medium</x:v>
      </x:c>
      <x:c r="G32" s="14" t="str">
        <x:v>General home coffee users</x:v>
      </x:c>
      <x:c r="H32" s="14" t="str">
        <x:v>scoop included; date tracker</x:v>
      </x:c>
      <x:c r="I32" s="14" t="str">
        <x:v>Use as the budget/value pick in comparison tables.</x:v>
      </x:c>
      <x:c r="J32" s="14" t="str">
        <x:v>Best Coffee Storage Containers for Fresh Beans</x:v>
      </x:c>
      <x:c r="K32" s="14" t="str">
        <x:v>Veken Coffee Canister, Airtight Stainless Steel Kitchen Food Storage Container with Date Tracke...</x:v>
      </x:c>
      <x:c r="L32" s="14" t="str">
        <x:v>View on Amazon</x:v>
      </x:c>
      <x:c r="M32" s="14" t="str">
        <x:v>Verify actual capacity and whether it fits whole beans vs grounds.</x:v>
      </x:c>
      <x:c r="N32" s="14" t="str">
        <x:v>coffee storage container, airtight coffee canister, coffee bean storage</x:v>
      </x:c>
      <x:c r="O32" s="14" t="str">
        <x:v>https://amzn.to/4nnXenH</x:v>
      </x:c>
      <x:c r="P32" s="14" t="str">
        <x:v>B089Q4VKFR</x:v>
      </x:c>
      <x:c r="Q32" s="14" t="str">
        <x:v>Coffee storage container</x:v>
      </x:c>
      <x:c r="R32" s="14" t="str">
        <x:v>No</x:v>
      </x:c>
      <x:c r="S32" s="14" t="str">
        <x:v>Veken Coffee Canister, Airtight Stainless Steel Kitchen Food Storage Container with Date Tracker and Scoop for Beans, Grounds, Tea, Flour, Cereal, Sugar, 16OZ, Gray</x:v>
      </x:c>
      <x:c r="T32" s="14" t="str">
        <x:v>https://www.amazon.com/Veken-Canister-Airtight-Stainless-Container/dp/B089Q4VKFR?crid=1BYTIKG8NA5MR&amp;dib=eyJ2IjoiMSJ9.hkqGoCfM-l5I45icOtWcKFEv6QfNIiRnFTbS0q0fSWz-_6vI2j21yW2v7ybDAnp3UpgYWDac65vdUx_4fhmR6BJabBwZ1TDnaEJEn-K1GSRaXk1SsO7lv5ASQ0nNFXENlu--_mYDpytb2DLHWfhFxjwVvh2mG5hUjQF5EKne76OVDJ8HDkNWU5lVG1xV7hHILsXNTrWHmK82NuqnSEeDoInOh6fWfIZnTDb9n_e4_uyKp6MKib28r6N377REd1SWETdaNzsANplW3eKl5ohQsUTRGQuWwsLinXo8XJfu7UM.jImwaIAecGKDsCw0EM1caDvSHiaC954BbBfXWKsp5SQ&amp;dib_tag=se&amp;keywords=Coffee%2Bstorage%2Bcontainer&amp;qid=1778621777&amp;sprefix=coffee%2Bstorage%2Bcontainer%2Caps%2C214&amp;sr=8-26&amp;th=1&amp;linkCode=ll2&amp;tag=mobile07ee195-20&amp;linkId=964429f5dccdc8fa07ec030c44de489d&amp;language=en_US&amp;ref_=as_li_ss_tl</x:v>
      </x:c>
      <x:c r="U32" s="14" t="str">
        <x:v>Amazon title/link supplied in uploaded file; no review claims added.</x:v>
      </x:c>
    </x:row>
    <x:row r="33">
      <x:c r="A33" s="14" t="n">
        <x:v>32</x:v>
      </x:c>
      <x:c r="B33" s="14" t="str">
        <x:v>Coffee Storage</x:v>
      </x:c>
      <x:c r="C33" s="14" t="str">
        <x:v>Coffee container set</x:v>
      </x:c>
      <x:c r="D33" s="14" t="str">
        <x:v>Mid-to-premium estimate</x:v>
      </x:c>
      <x:c r="E33" s="14" t="str">
        <x:v>Low</x:v>
      </x:c>
      <x:c r="F33" s="14" t="str">
        <x:v>Medium</x:v>
      </x:c>
      <x:c r="G33" s="14" t="str">
        <x:v>General home coffee users</x:v>
      </x:c>
      <x:c r="H33" s="14" t="str">
        <x:v>scoop included; label included</x:v>
      </x:c>
      <x:c r="I33" s="14" t="str">
        <x:v>Use as a middle option or comparison pick.</x:v>
      </x:c>
      <x:c r="J33" s="14" t="str">
        <x:v>Best Coffee Storage Containers for Fresh Beans</x:v>
      </x:c>
      <x:c r="K33" s="14" t="str">
        <x:v>gmisun Coffee Container, 2 Pcs 50 Fl oz Airtight Bean Storage Canister, Black Glass Ground Coff...</x:v>
      </x:c>
      <x:c r="L33" s="14" t="str">
        <x:v>View on Amazon</x:v>
      </x:c>
      <x:c r="M33" s="14" t="str">
        <x:v>Verify actual capacity and whether it fits whole beans vs grounds.</x:v>
      </x:c>
      <x:c r="N33" s="14" t="str">
        <x:v>coffee storage container, airtight coffee canister, coffee bean storage</x:v>
      </x:c>
      <x:c r="O33" s="14" t="str">
        <x:v>https://amzn.to/4wqbmRb</x:v>
      </x:c>
      <x:c r="P33" s="14" t="str">
        <x:v>B0CGX1SN4K</x:v>
      </x:c>
      <x:c r="Q33" s="14" t="str">
        <x:v>Coffee storage container</x:v>
      </x:c>
      <x:c r="R33" s="14" t="str">
        <x:v>No</x:v>
      </x:c>
      <x:c r="S33" s="14" t="str">
        <x:v>gmisun Coffee Container, 2 Pcs 50 Fl oz Airtight Bean Storage Canister, Black Glass Ground Coffee and Sugar Jar Set with Scoop/Shelf/Labels, Sugar/Tea Holder Containers for Cafe Bar Countertop</x:v>
      </x:c>
      <x:c r="T33" s="14" t="str">
        <x:v>https://www.amazon.com/Container-Airtight-Canister-Containers-Countertop/dp/B0CGX1SN4K?crid=1BYTIKG8NA5MR&amp;dib=eyJ2IjoiMSJ9.hkqGoCfM-l5I45icOtWcKFEv6QfNIiRnFTbS0q0fSWz-_6vI2j21yW2v7ybDAnp3UpgYWDac65vdUx_4fhmR6BJabBwZ1TDnaEJEn-K1GSRaXk1SsO7lv5ASQ0nNFXENlu--_mYDpytb2DLHWfhFxjwVvh2mG5hUjQF5EKne76OVDJ8HDkNWU5lVG1xV7hHILsXNTrWHmK82NuqnSEeDoInOh6fWfIZnTDb9n_e4_uyKp6MKib28r6N377REd1SWETdaNzsANplW3eKl5ohQsUTRGQuWwsLinXo8XJfu7UM.jImwaIAecGKDsCw0EM1caDvSHiaC954BbBfXWKsp5SQ&amp;dib_tag=se&amp;keywords=Coffee%2Bstorage%2Bcontainer&amp;qid=1778621777&amp;sprefix=coffee%2Bstorage%2Bcontainer%2Caps%2C214&amp;sr=8-32&amp;th=1&amp;linkCode=ll2&amp;tag=mobile07ee195-20&amp;linkId=32d8c46bffa29561df27ba722ca260d8&amp;language=en_US&amp;ref_=as_li_ss_tl</x:v>
      </x:c>
      <x:c r="U33" s="14" t="str">
        <x:v>Amazon title/link supplied in uploaded file; no review claims added.</x:v>
      </x:c>
    </x:row>
    <x:row r="34">
      <x:c r="A34" s="14" t="n">
        <x:v>33</x:v>
      </x:c>
      <x:c r="B34" s="14" t="str">
        <x:v>Coffee Storage</x:v>
      </x:c>
      <x:c r="C34" s="14" t="str">
        <x:v>Feature-rich coffee canister</x:v>
      </x:c>
      <x:c r="D34" s="14" t="str">
        <x:v>Mid estimate</x:v>
      </x:c>
      <x:c r="E34" s="14" t="str">
        <x:v>Low</x:v>
      </x:c>
      <x:c r="F34" s="14" t="str">
        <x:v>Medium</x:v>
      </x:c>
      <x:c r="G34" s="14" t="str">
        <x:v>General home coffee users</x:v>
      </x:c>
      <x:c r="H34" s="14" t="str">
        <x:v>viewing window</x:v>
      </x:c>
      <x:c r="I34" s="14" t="str">
        <x:v>Use as a middle option or comparison pick.</x:v>
      </x:c>
      <x:c r="J34" s="14" t="str">
        <x:v>Best Coffee Storage Containers for Fresh Beans</x:v>
      </x:c>
      <x:c r="K34" s="14" t="str">
        <x:v>Veken Coffee Canister with Window,Airtight Stainless Steel Pantry Container,Home Kitchen Food S...</x:v>
      </x:c>
      <x:c r="L34" s="14" t="str">
        <x:v>View on Amazon</x:v>
      </x:c>
      <x:c r="M34" s="14" t="str">
        <x:v>Verify actual capacity and whether it fits whole beans vs grounds.</x:v>
      </x:c>
      <x:c r="N34" s="14" t="str">
        <x:v>coffee storage container, airtight coffee canister, coffee bean storage</x:v>
      </x:c>
      <x:c r="O34" s="14" t="str">
        <x:v>https://amzn.to/4eIxAI2</x:v>
      </x:c>
      <x:c r="P34" s="14" t="str">
        <x:v>B0CWH57Q9F</x:v>
      </x:c>
      <x:c r="Q34" s="14" t="str">
        <x:v>Coffee storage container</x:v>
      </x:c>
      <x:c r="R34" s="14" t="str">
        <x:v>No</x:v>
      </x:c>
      <x:c r="S34" s="14" t="str">
        <x:v>Veken Coffee Canister with Window,Airtight Stainless Steel Pantry Container,Home Kitchen Food Storage Organizers for Ground,Beans,Espresso,Rice,Tea,Sugar,Cereal, Decor,Bar Accessories,Gifts,22OZ,Black</x:v>
      </x:c>
      <x:c r="T34" s="14" t="str">
        <x:v>https://www.amazon.com/Veken-Canister-Stainless-Container-22OZ%EF%BC%8CBlack/dp/B0CWH57Q9F?crid=1BYTIKG8NA5MR&amp;dib=eyJ2IjoiMSJ9.hkqGoCfM-l5I45icOtWcKFEv6QfNIiRnFTbS0q0fSWz-_6vI2j21yW2v7ybDAnp3UpgYWDac65vdUx_4fhmR6BJabBwZ1TDnaEJEn-K1GSRaXk1SsO7lv5ASQ0nNFXENlu--_mYDpytb2DLHWfhFxjwVvh2mG5hUjQF5EKne76OVDJ8HDkNWU5lVG1xV7hHILsXNTrWHmK82NuqnSEeDoInOh6fWfIZnTDb9n_e4_uyKp6MKib28r6N377REd1SWETdaNzsANplW3eKl5ohQsUTRGQuWwsLinXo8XJfu7UM.jImwaIAecGKDsCw0EM1caDvSHiaC954BbBfXWKsp5SQ&amp;dib_tag=se&amp;keywords=Coffee%2Bstorage%2Bcontainer&amp;qid=1778621777&amp;sprefix=coffee%2Bstorage%2Bcontainer%2Caps%2C214&amp;sr=8-6&amp;th=1&amp;linkCode=ll2&amp;tag=mobile07ee195-20&amp;linkId=70b331ecb5f3ef0609a622cafccfb85e&amp;language=en_US&amp;ref_=as_li_ss_tl</x:v>
      </x:c>
      <x:c r="U34" s="14" t="str">
        <x:v>Amazon title/link supplied in uploaded file; no review claims added.</x:v>
      </x:c>
    </x:row>
    <x:row r="35">
      <x:c r="A35" s="14" t="n">
        <x:v>34</x:v>
      </x:c>
      <x:c r="B35" s="14" t="str">
        <x:v>Coffee Storage</x:v>
      </x:c>
      <x:c r="C35" s="14" t="str">
        <x:v>Airtight storage container</x:v>
      </x:c>
      <x:c r="D35" s="14" t="str">
        <x:v>Mid-to-premium estimate</x:v>
      </x:c>
      <x:c r="E35" s="14" t="str">
        <x:v>Low</x:v>
      </x:c>
      <x:c r="F35" s="14" t="str">
        <x:v>Medium</x:v>
      </x:c>
      <x:c r="G35" s="14" t="str">
        <x:v>General home coffee users</x:v>
      </x:c>
      <x:c r="H35" s="14" t="str">
        <x:v>holds 2.2 lbs</x:v>
      </x:c>
      <x:c r="I35" s="14" t="str">
        <x:v>Use as a middle option or comparison pick.</x:v>
      </x:c>
      <x:c r="J35" s="14" t="str">
        <x:v>Best Coffee Storage Containers for Fresh Beans</x:v>
      </x:c>
      <x:c r="K35" s="14" t="str">
        <x:v>Veken Coffee Canister, 39OZ Large, Airtight Stainless Steel Food Storage Container for 2.2lbs C...</x:v>
      </x:c>
      <x:c r="L35" s="14" t="str">
        <x:v>View on Amazon</x:v>
      </x:c>
      <x:c r="M35" s="14" t="str">
        <x:v>Verify actual capacity and whether it fits whole beans vs grounds.</x:v>
      </x:c>
      <x:c r="N35" s="14" t="str">
        <x:v>coffee storage container, airtight coffee canister, coffee bean storage</x:v>
      </x:c>
      <x:c r="O35" s="14" t="str">
        <x:v>https://amzn.to/4npYLJC</x:v>
      </x:c>
      <x:c r="P35" s="14" t="str">
        <x:v>B0DZ2MMFMJ</x:v>
      </x:c>
      <x:c r="Q35" s="14" t="str">
        <x:v>Coffee storage container</x:v>
      </x:c>
      <x:c r="R35" s="14" t="str">
        <x:v>Yes</x:v>
      </x:c>
      <x:c r="S35" s="14" t="str">
        <x:v>Veken Coffee Canister, 39OZ Large, Airtight Stainless Steel Food Storage Container for 2.2lbs Coffee Beans,Ground, Sugar,Espresso,Rice,Tea,Flour, Cookie, Jars,Home Kitchen Bar Accessories, Gifts,Gray</x:v>
      </x:c>
      <x:c r="T35" s="14" t="str">
        <x:v>https://www.amazon.com/Veken-Canister-Stainless-Container-Accessories/dp/B0DZ2MMFMJ?crid=1BYTIKG8NA5MR&amp;dib=eyJ2IjoiMSJ9.hkqGoCfM-l5I45icOtWcKFEv6QfNIiRnFTbS0q0fSWz-_6vI2j21yW2v7ybDAnp3UpgYWDac65vdUx_4fhmR6BJabBwZ1TDnaEJEn-K1GSRaXk1SsO7lv5ASQ0nNFXENlu--_mYDpytb2DLHWfhFxjwVvh2mG5hUjQF5EKne76OVDJ8HDkNWU5lVG1xV7hHILsXNTrWHmK82NuqnSEeDoInOh6fWfIZnTDb9n_e4_uyKp6MKib28r6N377REd1SWETdaNzsANplW3eKl5ohQsUTRGQuWwsLinXo8XJfu7UM.jImwaIAecGKDsCw0EM1caDvSHiaC954BbBfXWKsp5SQ&amp;dib_tag=se&amp;keywords=Coffee%2Bstorage%2Bcontainer&amp;qid=1778621777&amp;sprefix=coffee%2Bstorage%2Bcontainer%2Caps%2C214&amp;sr=8-2-spons&amp;sp_csd=d2lkZ2V0TmFtZT1zcF9hdGY&amp;th=1&amp;linkCode=ll2&amp;tag=mobile07ee195-20&amp;linkId=b7c9458178353c910a2a9dfecad39a1c&amp;language=en_US&amp;ref_=as_li_ss_tl</x:v>
      </x:c>
      <x:c r="U35" s="14" t="str">
        <x:v>Amazon title/link supplied in uploaded file; no review claims added.</x:v>
      </x:c>
    </x:row>
    <x:row r="36">
      <x:c r="A36" s="14" t="n">
        <x:v>35</x:v>
      </x:c>
      <x:c r="B36" s="14" t="str">
        <x:v>Espresso / Specialty Machines</x:v>
      </x:c>
      <x:c r="C36" s="14" t="str">
        <x:v>Semi-automatic espresso machine</x:v>
      </x:c>
      <x:c r="D36" s="14" t="str">
        <x:v>Mid estimate</x:v>
      </x:c>
      <x:c r="E36" s="14" t="str">
        <x:v>Low</x:v>
      </x:c>
      <x:c r="F36" s="14" t="str">
        <x:v>Medium</x:v>
      </x:c>
      <x:c r="G36" s="14" t="str">
        <x:v>General home coffee users</x:v>
      </x:c>
      <x:c r="H36" s="14" t="str">
        <x:v>50 oz capacity; 20 bar pressure; visible pressure gauge; cold brew</x:v>
      </x:c>
      <x:c r="I36" s="14" t="str">
        <x:v>Use as a middle option or comparison pick.</x:v>
      </x:c>
      <x:c r="J36" s="14" t="str">
        <x:v>Best Beginner Espresso Machines and Specialty Coffee Makers</x:v>
      </x:c>
      <x:c r="K36" s="14" t="str">
        <x:v>Espresso Coffee Machine, 20 Bar Espresso Maker with Milk Frother, Hot Espresso &amp; Cold Brew, 50 ...</x:v>
      </x:c>
      <x:c r="L36" s="14" t="str">
        <x:v>View on Amazon</x:v>
      </x:c>
      <x:c r="M36" s="14" t="str">
        <x:v>Verify warranty, footprint, cleaning difficulty, and real user complaints before ranking high.</x:v>
      </x:c>
      <x:c r="N36" s="14" t="str">
        <x:v>beginner espresso machine, espresso machine with milk frother, specialty coffee maker</x:v>
      </x:c>
      <x:c r="O36" s="14" t="str">
        <x:v>https://amzn.to/4tuENPk</x:v>
      </x:c>
      <x:c r="P36" s="14" t="str">
        <x:v>B0D3PR63KT</x:v>
      </x:c>
      <x:c r="Q36" s="14" t="str">
        <x:v>expresso coffee machines</x:v>
      </x:c>
      <x:c r="R36" s="14" t="str">
        <x:v>Yes</x:v>
      </x:c>
      <x:c r="S36" s="14" t="str">
        <x:v>Espresso Coffee Machine, 20 Bar Espresso Maker with Milk Frother, Hot Espresso &amp; Cold Brew, 50 oz Water Tank, Visible Pressure Gauge, Compact Design for Counter</x:v>
      </x:c>
      <x:c r="T36" s="14" t="str">
        <x:v>https://www.amazon.com/avigator-Automatic-Programable-Removable-Cappuccino/dp/B0D3PR63KT?crid=22L687PHN5HUL&amp;dib=eyJ2IjoiMSJ9.tkNOGoVgzVnyMuyOIhe8cdIUTlxGBzTmcgxPOc2uEcJUbtK2M3P8MqtwyS5MHOEd2uRlrkXZ59CuEj8X8lLu0orKxEU-12kGlloh6oUGzT-BxEEs2XeGStcYiO2pwpGa0OLh50RpTzBe33-Vys6AAslTQSblN1O5liU0cTeuXnWGnUM7G-H5d9b2PqDbWeNAtH9cxT9ZtvV5dxiz6rUVsAceEopIIJAJf314Ix7xTzhBXcyeIR5rHYVgjPg_mPHv5L1HnoMEmqHAgpDj3Ty-Cuf9jIGxisACGVaapPl1E00.drrNWIurO-fYnFIHPQTYZP_H_m9utlE0i6CQPIXJS4w&amp;dib_tag=se&amp;keywords=expresso+coffee+machines&amp;qid=1778622138&amp;sprefix=esspres%2Caps%2C215&amp;sr=8-4-spons&amp;sp_csd=d2lkZ2V0TmFtZT1zcF9hdGY&amp;psc=1&amp;linkCode=ll2&amp;tag=mobile07ee195-20&amp;linkId=43909e139c6ef92ee72176f60de94e4c&amp;language=en_US&amp;ref_=as_li_ss_tl</x:v>
      </x:c>
      <x:c r="U36" s="14" t="str">
        <x:v>Amazon title/link supplied in uploaded file; no review claims added.</x:v>
      </x:c>
    </x:row>
    <x:row r="37">
      <x:c r="A37" s="14" t="n">
        <x:v>36</x:v>
      </x:c>
      <x:c r="B37" s="14" t="str">
        <x:v>Espresso / Specialty Machines</x:v>
      </x:c>
      <x:c r="C37" s="14" t="str">
        <x:v>Semi-automatic espresso machine</x:v>
      </x:c>
      <x:c r="D37" s="14" t="str">
        <x:v>Premium estimate</x:v>
      </x:c>
      <x:c r="E37" s="14" t="str">
        <x:v>Low</x:v>
      </x:c>
      <x:c r="F37" s="14" t="str">
        <x:v>Medium</x:v>
      </x:c>
      <x:c r="G37" s="14" t="str">
        <x:v>General home coffee users</x:v>
      </x:c>
      <x:c r="H37" s="14" t="str">
        <x:v>44 oz tank; 20 bar pressure; office use</x:v>
      </x:c>
      <x:c r="I37" s="14" t="str">
        <x:v>Use as the premium/upgrade pick in comparison tables.</x:v>
      </x:c>
      <x:c r="J37" s="14" t="str">
        <x:v>Best Beginner Espresso Machines and Specialty Coffee Makers</x:v>
      </x:c>
      <x:c r="K37" s="14" t="str">
        <x:v>atatix Espresso Machine with Milk Frother, 20 Bar Pressure Espresso Maker, with 44OZ Removable ...</x:v>
      </x:c>
      <x:c r="L37" s="14" t="str">
        <x:v>View on Amazon</x:v>
      </x:c>
      <x:c r="M37" s="14" t="str">
        <x:v>Verify warranty, footprint, cleaning difficulty, and real user complaints before ranking high.</x:v>
      </x:c>
      <x:c r="N37" s="14" t="str">
        <x:v>beginner espresso machine, espresso machine with milk frother, specialty coffee maker</x:v>
      </x:c>
      <x:c r="O37" s="14" t="str">
        <x:v>https://amzn.to/4d8ESDK</x:v>
      </x:c>
      <x:c r="P37" s="14" t="str">
        <x:v>B0DP1WXVK8</x:v>
      </x:c>
      <x:c r="Q37" s="14" t="str">
        <x:v>expresso coffee machines</x:v>
      </x:c>
      <x:c r="R37" s="14" t="str">
        <x:v>Yes</x:v>
      </x:c>
      <x:c r="S37" s="14" t="str">
        <x:v>atatix Espresso Machine with Milk Frother, 20 Bar Pressure Espresso Maker, with 44OZ Removable Tank, Compact Stainless Steel Coffee Machine for Home, Office, Latte, Cappuccino, Macchiato, Silver</x:v>
      </x:c>
      <x:c r="T37" s="14" t="str">
        <x:v>https://www.amazon.com/Espresso-Professional-Automatic-Stainless-Cappuccino/dp/B0DP1WXVK8?crid=22L687PHN5HUL&amp;dib=eyJ2IjoiMSJ9.tkNOGoVgzVnyMuyOIhe8cdIUTlxGBzTmcgxPOc2uEcJUbtK2M3P8MqtwyS5MHOEd2uRlrkXZ59CuEj8X8lLu0orKxEU-12kGlloh6oUGzT-BxEEs2XeGStcYiO2pwpGa0OLh50RpTzBe33-Vys6AAslTQSblN1O5liU0cTeuXnWGnUM7G-H5d9b2PqDbWeNAtH9cxT9ZtvV5dxiz6rUVsAceEopIIJAJf314Ix7xTzhBXcyeIR5rHYVgjPg_mPHv5L1HnoMEmqHAgpDj3Ty-Cuf9jIGxisACGVaapPl1E00.drrNWIurO-fYnFIHPQTYZP_H_m9utlE0i6CQPIXJS4w&amp;dib_tag=se&amp;keywords=expresso%2Bcoffee%2Bmachines&amp;qid=1778622138&amp;sprefix=esspres%2Caps%2C215&amp;sr=8-1-spons&amp;sp_csd=d2lkZ2V0TmFtZT1zcF9hdGY&amp;th=1&amp;linkCode=ll2&amp;tag=mobile07ee195-20&amp;linkId=b15a2ba24dc234154953528abb37ab55&amp;language=en_US&amp;ref_=as_li_ss_tl</x:v>
      </x:c>
      <x:c r="U37" s="14" t="str">
        <x:v>Amazon title/link supplied in uploaded file; no review claims added.</x:v>
      </x:c>
    </x:row>
    <x:row r="38">
      <x:c r="A38" s="14" t="n">
        <x:v>37</x:v>
      </x:c>
      <x:c r="B38" s="14" t="str">
        <x:v>Espresso / Specialty Machines</x:v>
      </x:c>
      <x:c r="C38" s="14" t="str">
        <x:v>All-in-one specialty coffee machine</x:v>
      </x:c>
      <x:c r="D38" s="14" t="str">
        <x:v>Premium estimate</x:v>
      </x:c>
      <x:c r="E38" s="14" t="str">
        <x:v>Medium</x:v>
      </x:c>
      <x:c r="F38" s="14" t="str">
        <x:v>Medium</x:v>
      </x:c>
      <x:c r="G38" s="14" t="str">
        <x:v>People who want fewer separate devices</x:v>
      </x:c>
      <x:c r="H38" s="14" t="str">
        <x:v>integrated tamper; built-in grinder; hands-free frother; hot water; cold brew</x:v>
      </x:c>
      <x:c r="I38" s="14" t="str">
        <x:v>Position as an all-in-one convenience pick.</x:v>
      </x:c>
      <x:c r="J38" s="14" t="str">
        <x:v>Best Beginner Espresso Machines and Specialty Coffee Makers</x:v>
      </x:c>
      <x:c r="K38" s="14" t="str">
        <x:v>Ninja Luxe Café Pro Series, Espresso Machine, Drip Coffee, Cold Brew, Hot Water, Integrated Tam...</x:v>
      </x:c>
      <x:c r="L38" s="14" t="str">
        <x:v>View on Amazon</x:v>
      </x:c>
      <x:c r="M38" s="14" t="str">
        <x:v>Verify warranty, footprint, cleaning difficulty, and real user complaints before ranking high.</x:v>
      </x:c>
      <x:c r="N38" s="14" t="str">
        <x:v>beginner espresso machine, espresso machine with milk frother, specialty coffee maker</x:v>
      </x:c>
      <x:c r="O38" s="14" t="str">
        <x:v>https://amzn.to/4u6TeKF</x:v>
      </x:c>
      <x:c r="P38" s="14" t="str">
        <x:v>B0F5JFTR1Q</x:v>
      </x:c>
      <x:c r="Q38" s="14" t="str">
        <x:v>expresso coffee machines</x:v>
      </x:c>
      <x:c r="R38" s="14" t="str">
        <x:v>Yes</x:v>
      </x:c>
      <x:c r="S38" s="14" t="str">
        <x:v>Ninja Luxe Café Pro Series, Espresso Machine, Drip Coffee, Cold Brew, Hot Water, Integrated Tamper, Built-in Grinder, Hands-Free Frother for Cappuccinos, Lattes, Americanos, Dairy or Non-Dairy, ES701</x:v>
      </x:c>
      <x:c r="T38" s="14" t="str">
        <x:v>https://www.amazon.com/Ninja-Integrated-Hands-Free-Cappuccinos-ES701/dp/B0F5JFTR1Q?crid=22L687PHN5HUL&amp;dib=eyJ2IjoiMSJ9.tkNOGoVgzVnyMuyOIhe8cdIUTlxGBzTmcgxPOc2uEcJUbtK2M3P8MqtwyS5MHOEd2uRlrkXZ59CuEj8X8lLu0orKxEU-12kGlloh6oUGzT-BxEEs2XeGStcYiO2pwpGa0OLh50RpTzBe33-Vys6AAslTQSblN1O5liU0cTeuXnWGnUM7G-H5d9b2PqDbWeNAtH9cxT9ZtvV5dxiz6rUVsAceEopIIJAJf314Ix7xTzhBXcyeIR5rHYVgjPg_mPHv5L1HnoMEmqHAgpDj3Ty-Cuf9jIGxisACGVaapPl1E00.drrNWIurO-fYnFIHPQTYZP_H_m9utlE0i6CQPIXJS4w&amp;dib_tag=se&amp;keywords=expresso%2Bcoffee%2Bmachines&amp;qid=1778622138&amp;sprefix=esspres%2Caps%2C215&amp;sr=8-2-spons&amp;sp_csd=d2lkZ2V0TmFtZT1zcF9hdGY&amp;th=1&amp;linkCode=ll2&amp;tag=mobile07ee195-20&amp;linkId=c4d7ef4d226cf5e12f90fda007236762&amp;language=en_US&amp;ref_=as_li_ss_tl</x:v>
      </x:c>
      <x:c r="U38" s="14" t="str">
        <x:v>Amazon title/link supplied in uploaded file; no review claims added.</x:v>
      </x:c>
    </x:row>
    <x:row r="39">
      <x:c r="A39" s="14" t="n">
        <x:v>38</x:v>
      </x:c>
      <x:c r="B39" s="14" t="str">
        <x:v>Espresso / Specialty Machines</x:v>
      </x:c>
      <x:c r="C39" s="14" t="str">
        <x:v>Portable espresso setup</x:v>
      </x:c>
      <x:c r="D39" s="14" t="str">
        <x:v>Premium estimate</x:v>
      </x:c>
      <x:c r="E39" s="14" t="str">
        <x:v>Medium</x:v>
      </x:c>
      <x:c r="F39" s="14" t="str">
        <x:v>Medium</x:v>
      </x:c>
      <x:c r="G39" s="14" t="str">
        <x:v>Travel, camping, office, or small-space setups</x:v>
      </x:c>
      <x:c r="H39" s="14" t="str">
        <x:v>portable</x:v>
      </x:c>
      <x:c r="I39" s="14" t="str">
        <x:v>Position as a travel/small-space coffee upgrade.</x:v>
      </x:c>
      <x:c r="J39" s="14" t="str">
        <x:v>Best Beginner Espresso Machines and Specialty Coffee Makers</x:v>
      </x:c>
      <x:c r="K39" s="14" t="str">
        <x:v>OutIn Mino with Fino, Portable Electric Espresso Machine with Portable Electric Coffee Grinder ...</x:v>
      </x:c>
      <x:c r="L39" s="14" t="str">
        <x:v>View on Amazon</x:v>
      </x:c>
      <x:c r="M39" s="14" t="str">
        <x:v>Verify warranty, footprint, cleaning difficulty, and real user complaints before ranking high.</x:v>
      </x:c>
      <x:c r="N39" s="14" t="str">
        <x:v>beginner espresso machine, espresso machine with milk frother, specialty coffee maker</x:v>
      </x:c>
      <x:c r="O39" s="14" t="str">
        <x:v>https://amzn.to/4uLG8CB</x:v>
      </x:c>
      <x:c r="P39" s="14" t="str">
        <x:v>B0GSPWY1RP</x:v>
      </x:c>
      <x:c r="Q39" s="14" t="str">
        <x:v>expresso coffee machines</x:v>
      </x:c>
      <x:c r="R39" s="14" t="str">
        <x:v>Yes</x:v>
      </x:c>
      <x:c r="S39" s="14" t="str">
        <x:v>OutIn Mino with Fino, Portable Electric Espresso Machine with Portable Electric Coffee Grinder (Green &amp; Brown)</x:v>
      </x:c>
      <x:c r="T39" s="14" t="str">
        <x:v>https://www.amazon.com/OutIn-Portable-Electric-Espresso-Machine/dp/B0GSPWY1RP?crid=22L687PHN5HUL&amp;dib=eyJ2IjoiMSJ9.tkNOGoVgzVnyMuyOIhe8cdIUTlxGBzTmcgxPOc2uEcJUbtK2M3P8MqtwyS5MHOEd2uRlrkXZ59CuEj8X8lLu0orKxEU-12kGlloh6oUGzT-BxEEs2XeGStcYiO2pwpGa0OLh50RpTzBe33-Vys6AAslTQSblN1O5liU0cTeuXnWGnUM7G-H5d9b2PqDbWeNAtH9cxT9ZtvV5dxiz6rUVsAceEopIIJAJf314Ix7xTzhBXcyeIR5rHYVgjPg_mPHv5L1HnoMEmqHAgpDj3Ty-Cuf9jIGxisACGVaapPl1E00.drrNWIurO-fYnFIHPQTYZP_H_m9utlE0i6CQPIXJS4w&amp;dib_tag=se&amp;keywords=expresso+coffee+machines&amp;qid=1778622138&amp;sprefix=esspres%2Caps%2C215&amp;sr=8-15-spons&amp;sp_csd=d2lkZ2V0TmFtZT1zcF9tdGY&amp;psc=1&amp;linkCode=ll2&amp;tag=mobile07ee195-20&amp;linkId=ba6e8258a64497369fb6d257c7599e2d&amp;language=en_US&amp;ref_=as_li_ss_tl</x:v>
      </x:c>
      <x:c r="U39" s="14" t="str">
        <x:v>Amazon title/link supplied in uploaded file; no review claims added.</x:v>
      </x:c>
    </x:row>
    <x:row r="40">
      <x:c r="A40" s="14" t="n">
        <x:v>39</x:v>
      </x:c>
      <x:c r="B40" s="14" t="str">
        <x:v>Espresso Accessories</x:v>
      </x:c>
      <x:c r="C40" s="14" t="str">
        <x:v>Espresso puck prep accessory</x:v>
      </x:c>
      <x:c r="D40" s="14" t="str">
        <x:v>Mid estimate</x:v>
      </x:c>
      <x:c r="E40" s="14" t="str">
        <x:v>Medium</x:v>
      </x:c>
      <x:c r="F40" s="14" t="str">
        <x:v>Low</x:v>
      </x:c>
      <x:c r="G40" s="14" t="str">
        <x:v>General home coffee users</x:v>
      </x:c>
      <x:c r="H40" s="14" t="str">
        <x:v>Basic feature set; verify product details</x:v>
      </x:c>
      <x:c r="I40" s="14" t="str">
        <x:v>Use as a middle option or comparison pick.</x:v>
      </x:c>
      <x:c r="J40" s="14" t="str">
        <x:v>Best Espresso Accessories for Beginners</x:v>
      </x:c>
      <x:c r="K40" s="14" t="str">
        <x:v>OutIn Nano Espresso Accessories Kit, Basket Plus, double shot</x:v>
      </x:c>
      <x:c r="L40" s="14" t="str">
        <x:v>View on Amazon</x:v>
      </x:c>
      <x:c r="M40" s="14" t="str">
        <x:v>Verify current Amazon price, reviews, availability, and exact specs before publishing.</x:v>
      </x:c>
      <x:c r="N40" s="14" t="str">
        <x:v>coffee accessories, coffee gear, home coffee setup</x:v>
      </x:c>
      <x:c r="O40" s="14" t="str">
        <x:v>https://amzn.to/3RARZoA</x:v>
      </x:c>
      <x:c r="P40" s="14" t="str">
        <x:v>B0D2KZQ49L</x:v>
      </x:c>
      <x:c r="Q40" s="14" t="str">
        <x:v>expresso coffee machines</x:v>
      </x:c>
      <x:c r="R40" s="14" t="str">
        <x:v>Yes</x:v>
      </x:c>
      <x:c r="S40" s="14" t="str">
        <x:v>OutIn Nano Espresso Accessories Kit, Basket Plus, double shot</x:v>
      </x:c>
      <x:c r="T40" s="14" t="str">
        <x:v>https://www.amazon.com/Outin-Espresso-Accessories-Kit-Basket/dp/B0D2KZQ49L?crid=22L687PHN5HUL&amp;dib=eyJ2IjoiMSJ9.tkNOGoVgzVnyMuyOIhe8cdIUTlxGBzTmcgxPOc2uEcJUbtK2M3P8MqtwyS5MHOEd2uRlrkXZ59CuEj8X8lLu0orKxEU-12kGlloh6oUGzT-BxEEs2XeGStcYiO2pwpGa0OLh50RpTzBe33-Vys6AAslTQSblN1O5liU0cTeuXnWGnUM7G-H5d9b2PqDbWeNAtH9cxT9ZtvV5dxiz6rUVsAceEopIIJAJf314Ix7xTzhBXcyeIR5rHYVgjPg_mPHv5L1HnoMEmqHAgpDj3Ty-Cuf9jIGxisACGVaapPl1E00.drrNWIurO-fYnFIHPQTYZP_H_m9utlE0i6CQPIXJS4w&amp;dib_tag=se&amp;keywords=expresso+coffee+machines&amp;qid=1778622138&amp;sprefix=esspres%2Caps%2C215&amp;sr=8-13-spons&amp;sp_csd=d2lkZ2V0TmFtZT1zcF9tdGY&amp;psc=1&amp;linkCode=ll2&amp;tag=mobile07ee195-20&amp;linkId=29b7b63d5702b779aa21759a1a932e19&amp;language=en_US&amp;ref_=as_li_ss_tl</x:v>
      </x:c>
      <x:c r="U40" s="14" t="str">
        <x:v>Amazon title/link supplied in uploaded file; no review claims added.</x:v>
      </x:c>
    </x:row>
    <x:row r="41">
      <x:c r="A41" s="14" t="n">
        <x:v>40</x:v>
      </x:c>
      <x:c r="B41" s="14" t="str">
        <x:v>Espresso Accessories</x:v>
      </x:c>
      <x:c r="C41" s="14" t="str">
        <x:v>Espresso puck prep accessory</x:v>
      </x:c>
      <x:c r="D41" s="14" t="str">
        <x:v>Budget-to-mid estimate</x:v>
      </x:c>
      <x:c r="E41" s="14" t="str">
        <x:v>Low</x:v>
      </x:c>
      <x:c r="F41" s="14" t="str">
        <x:v>Low</x:v>
      </x:c>
      <x:c r="G41" s="14" t="str">
        <x:v>General home coffee users</x:v>
      </x:c>
      <x:c r="H41" s="14" t="str">
        <x:v>walnut wood</x:v>
      </x:c>
      <x:c r="I41" s="14" t="str">
        <x:v>Use as the budget/value pick in comparison tables.</x:v>
      </x:c>
      <x:c r="J41" s="14" t="str">
        <x:v>Best Espresso Accessories for Beginners</x:v>
      </x:c>
      <x:c r="K41" s="14" t="str">
        <x:v>WDT Tool Espresso Stirrers - Coffee Distributor Barista Tools - Espresso Needle Distribution To...</x:v>
      </x:c>
      <x:c r="L41" s="14" t="str">
        <x:v>View on Amazon</x:v>
      </x:c>
      <x:c r="M41" s="14" t="str">
        <x:v>Verify current Amazon price, reviews, availability, and exact specs before publishing.</x:v>
      </x:c>
      <x:c r="N41" s="14" t="str">
        <x:v>coffee accessories, coffee gear, home coffee setup</x:v>
      </x:c>
      <x:c r="O41" s="14" t="str">
        <x:v>https://amzn.to/4tCy7il</x:v>
      </x:c>
      <x:c r="P41" s="14" t="str">
        <x:v>B0C6QY16N7</x:v>
      </x:c>
      <x:c r="Q41" s="14" t="str">
        <x:v>expresso coffee machines</x:v>
      </x:c>
      <x:c r="R41" s="14" t="str">
        <x:v>Yes</x:v>
      </x:c>
      <x:c r="S41" s="14" t="str">
        <x:v>WDT Tool Espresso Stirrers - Coffee Distributor Barista Tools - Espresso Needle Distribution Tool for Coffee Accessories Kit - Walnut Wood Gifts for Coffee Lovers (Large)</x:v>
      </x:c>
      <x:c r="T41" s="14" t="str">
        <x:v>https://www.amazon.com/Creatomer-WDT-Tool-Espresso-Stirrers/dp/B0C6QY16N7?crid=22L687PHN5HUL&amp;dib=eyJ2IjoiMSJ9.tkNOGoVgzVnyMuyOIhe8cdIUTlxGBzTmcgxPOc2uEcJUbtK2M3P8MqtwyS5MHOEd2uRlrkXZ59CuEj8X8lLu0orKxEU-12kGlloh6oUGzT-BxEEs2XeGStcYiO2pwpGa0OLh50RpTzBe33-Vys6AAslTQSblN1O5liU0cTeuXnWGnUM7G-H5d9b2PqDbWeNAtH9cxT9ZtvV5dxiz6rUVsAceEopIIJAJf314Ix7xTzhBXcyeIR5rHYVgjPg_mPHv5L1HnoMEmqHAgpDj3Ty-Cuf9jIGxisACGVaapPl1E00.drrNWIurO-fYnFIHPQTYZP_H_m9utlE0i6CQPIXJS4w&amp;dib_tag=se&amp;keywords=expresso%2Bcoffee%2Bmachines&amp;qid=1778622138&amp;sprefix=esspres%2Caps%2C215&amp;sr=8-22-spons&amp;sp_csd=d2lkZ2V0TmFtZT1zcF9tdGY&amp;th=1&amp;linkCode=ll2&amp;tag=mobile07ee195-20&amp;linkId=204737344648ef4957094966e453d53a&amp;language=en_US&amp;ref_=as_li_ss_tl</x:v>
      </x:c>
      <x:c r="U41" s="14" t="str">
        <x:v>Amazon title/link supplied in uploaded file; no review claims added.</x:v>
      </x:c>
    </x:row>
    <x:row r="42">
      <x:c r="A42" s="14" t="n">
        <x:v>41</x:v>
      </x:c>
      <x:c r="B42" s="14" t="str">
        <x:v>Coffee Makers</x:v>
      </x:c>
      <x:c r="C42" s="14" t="str">
        <x:v>Drip coffee maker</x:v>
      </x:c>
      <x:c r="D42" s="14" t="str">
        <x:v>Budget estimate</x:v>
      </x:c>
      <x:c r="E42" s="14" t="str">
        <x:v>Medium</x:v>
      </x:c>
      <x:c r="F42" s="14" t="str">
        <x:v>Medium</x:v>
      </x:c>
      <x:c r="G42" s="14" t="str">
        <x:v>General home coffee users</x:v>
      </x:c>
      <x:c r="H42" s="14" t="str">
        <x:v>auto shut-off; auto pause</x:v>
      </x:c>
      <x:c r="I42" s="14" t="str">
        <x:v>Use as the budget/value pick in comparison tables.</x:v>
      </x:c>
      <x:c r="J42" s="14" t="str">
        <x:v>Best Coffee Makers for Small Kitchens and Daily Use</x:v>
      </x:c>
      <x:c r="K42" s="14" t="str">
        <x:v>Amazon Basics 5 Cup Drip Coffee Maker with Glass Coffee Pot (0.8 Qt), Auto Shut-off, Auto Pause...</x:v>
      </x:c>
      <x:c r="L42" s="14" t="str">
        <x:v>View on Amazon</x:v>
      </x:c>
      <x:c r="M42" s="14" t="str">
        <x:v>Verify warranty, footprint, cleaning difficulty, and real user complaints before ranking high.</x:v>
      </x:c>
      <x:c r="N42" s="14" t="str">
        <x:v>coffee accessories, coffee gear, home coffee setup</x:v>
      </x:c>
      <x:c r="O42" s="14" t="str">
        <x:v>https://amzn.to/4d6fRJh</x:v>
      </x:c>
      <x:c r="P42" s="14" t="str">
        <x:v>B0D9QFRJMX</x:v>
      </x:c>
      <x:c r="Q42" s="14" t="str">
        <x:v>coffee maker</x:v>
      </x:c>
      <x:c r="R42" s="14" t="str">
        <x:v>Yes</x:v>
      </x:c>
      <x:c r="S42" s="14" t="str">
        <x:v>Amazon Basics 5 Cup Drip Coffee Maker with Glass Coffee Pot (0.8 Qt), Auto Shut-off, Auto Pause, Removable Filter Basket, Matte Black</x:v>
      </x:c>
      <x:c r="T42" s="14" t="str">
        <x:v>https://www.amazon.com/Amazon-Basics-Coffee-Reusable-Shutoff/dp/B0D9QFRJMX?crid=1OFNG0VR57DW5&amp;dib=eyJ2IjoiMSJ9.IOQcVN2F0U2etjMJWTpi7P3dEXn1vojf7AxcGlCdxhk7rTpO08Ybxhv3tbgLKNmJxCDIfLPvJ4BDDx8zkZ9E3nIdqCxTjMK70Pn0H5jIY7MHk87lkclaQhL-kSDr9RppDUhJz5xUocdC_HbGP_6Lwm6vfPNB3rV07bGXdEzVALRxydy7RrmV5NMoMBlkKFL3GKW0cGcJpEfAmvMpHWwVuYY0NfRYYubTH1z9N3e-khdDC3VfxaT_SktgIU3AEryI7ILmiFYScnLfqA70gx_ybYE0BJUDemQHeAFalK5DfKA.E366BrD1WDZSgdXVTjUXbGeT-hWQ_j3hTgtkhkObkKI&amp;dib_tag=se&amp;keywords=coffee%2Bmaker&amp;qid=1778622234&amp;sprefix=coff%2Caps%2C223&amp;sr=8-1-spons&amp;sp_csd=d2lkZ2V0TmFtZT1zcF9hdGY&amp;th=1&amp;linkCode=ll2&amp;tag=mobile07ee195-20&amp;linkId=d4c70aa8d6c6ecfb38b95dd345b17af6&amp;language=en_US&amp;ref_=as_li_ss_tl</x:v>
      </x:c>
      <x:c r="U42" s="14" t="str">
        <x:v>Amazon title/link supplied in uploaded file; no review claims added.</x:v>
      </x:c>
    </x:row>
    <x:row r="43">
      <x:c r="A43" s="14" t="n">
        <x:v>42</x:v>
      </x:c>
      <x:c r="B43" s="14" t="str">
        <x:v>French Press</x:v>
      </x:c>
      <x:c r="C43" s="14" t="str">
        <x:v>Electric French press</x:v>
      </x:c>
      <x:c r="D43" s="14" t="str">
        <x:v>Mid-to-premium estimate</x:v>
      </x:c>
      <x:c r="E43" s="14" t="str">
        <x:v>Low</x:v>
      </x:c>
      <x:c r="F43" s="14" t="str">
        <x:v>Medium</x:v>
      </x:c>
      <x:c r="G43" s="14" t="str">
        <x:v>Travel, camping, office, or small-space setups</x:v>
      </x:c>
      <x:c r="H43" s="14" t="str">
        <x:v>portable; travel/camping</x:v>
      </x:c>
      <x:c r="I43" s="14" t="str">
        <x:v>Position as a travel/small-space coffee upgrade.</x:v>
      </x:c>
      <x:c r="J43" s="14" t="str">
        <x:v>Best French Press Coffee Makers</x:v>
      </x:c>
      <x:c r="K43" s="14" t="str">
        <x:v>Stoke Voltaics Electric French Press Coffee Maker, 120V Boil Water &amp; Press Coffee 2-in-1, Porta...</x:v>
      </x:c>
      <x:c r="L43" s="14" t="str">
        <x:v>View on Amazon</x:v>
      </x:c>
      <x:c r="M43" s="14" t="str">
        <x:v>Verify current Amazon price, reviews, availability, and exact specs before publishing.</x:v>
      </x:c>
      <x:c r="N43" s="14" t="str">
        <x:v>best french press coffee maker, non toxic french press, glass french press</x:v>
      </x:c>
      <x:c r="O43" s="14" t="str">
        <x:v>https://amzn.to/4wrZQor</x:v>
      </x:c>
      <x:c r="P43" s="14" t="str">
        <x:v>B0C2HFV1P6</x:v>
      </x:c>
      <x:c r="Q43" s="14" t="str">
        <x:v>coffee maker</x:v>
      </x:c>
      <x:c r="R43" s="14" t="str">
        <x:v>Yes</x:v>
      </x:c>
      <x:c r="S43" s="14" t="str">
        <x:v>Stoke Voltaics Electric French Press Coffee Maker, 120V Boil Water &amp; Press Coffee 2-in-1, Portable Design for Camping, Travel, 6 Minute Brew Ready</x:v>
      </x:c>
      <x:c r="T43" s="14" t="str">
        <x:v>https://www.amazon.com/Kettle-Pot-French-Press-Essentials/dp/B0C2HFV1P6?crid=1OFNG0VR57DW5&amp;dib=eyJ2IjoiMSJ9.IOQcVN2F0U2etjMJWTpi7P3dEXn1vojf7AxcGlCdxhk7rTpO08Ybxhv3tbgLKNmJxCDIfLPvJ4BDDx8zkZ9E3nIdqCxTjMK70Pn0H5jIY7MHk87lkclaQhL-kSDr9RppDUhJz5xUocdC_HbGP_6Lwm6vfPNB3rV07bGXdEzVALRxydy7RrmV5NMoMBlkKFL3GKW0cGcJpEfAmvMpHWwVuYY0NfRYYubTH1z9N3e-khdDC3VfxaT_SktgIU3AEryI7ILmiFYScnLfqA70gx_ybYE0BJUDemQHeAFalK5DfKA.E366BrD1WDZSgdXVTjUXbGeT-hWQ_j3hTgtkhkObkKI&amp;dib_tag=se&amp;keywords=coffee%2Bmaker&amp;qid=1778622234&amp;sprefix=coff%2Caps%2C223&amp;sr=8-4-spons&amp;sp_csd=d2lkZ2V0TmFtZT1zcF9hdGY&amp;th=1&amp;linkCode=ll2&amp;tag=mobile07ee195-20&amp;linkId=416d21a39fa37a25bcbd1204450fa31b&amp;language=en_US&amp;ref_=as_li_ss_tl</x:v>
      </x:c>
      <x:c r="U43" s="14" t="str">
        <x:v>Amazon title/link supplied in uploaded file; no review claims added.</x:v>
      </x:c>
    </x:row>
    <x:row r="44">
      <x:c r="A44" s="14" t="n">
        <x:v>43</x:v>
      </x:c>
      <x:c r="B44" s="14" t="str">
        <x:v>Coffee Makers</x:v>
      </x:c>
      <x:c r="C44" s="14" t="str">
        <x:v>Drip coffee maker</x:v>
      </x:c>
      <x:c r="D44" s="14" t="str">
        <x:v>Premium estimate</x:v>
      </x:c>
      <x:c r="E44" s="14" t="str">
        <x:v>Low</x:v>
      </x:c>
      <x:c r="F44" s="14" t="str">
        <x:v>Medium</x:v>
      </x:c>
      <x:c r="G44" s="14" t="str">
        <x:v>General home coffee users</x:v>
      </x:c>
      <x:c r="H44" s="14" t="str">
        <x:v>built-in timer; 1.5 L water tank; reusable filter; programmable timer; keep-warm</x:v>
      </x:c>
      <x:c r="I44" s="14" t="str">
        <x:v>Use as the premium/upgrade pick in comparison tables.</x:v>
      </x:c>
      <x:c r="J44" s="14" t="str">
        <x:v>Best Coffee Makers for Small Kitchens and Daily Use</x:v>
      </x:c>
      <x:c r="K44" s="14" t="str">
        <x:v>Gevi 10-Cup Drip Coffee Maker with Built-in Burr Grinder &amp; Programmable Timer, 1.5L Water Tank,...</x:v>
      </x:c>
      <x:c r="L44" s="14" t="str">
        <x:v>View on Amazon</x:v>
      </x:c>
      <x:c r="M44" s="14" t="str">
        <x:v>Verify warranty, footprint, cleaning difficulty, and real user complaints before ranking high.</x:v>
      </x:c>
      <x:c r="N44" s="14" t="str">
        <x:v>coffee accessories, coffee gear, home coffee setup</x:v>
      </x:c>
      <x:c r="O44" s="14" t="str">
        <x:v>https://amzn.to/4nrfRHk</x:v>
      </x:c>
      <x:c r="P44" s="14" t="str">
        <x:v>B0GCLCWD7W</x:v>
      </x:c>
      <x:c r="Q44" s="14" t="str">
        <x:v>coffee maker</x:v>
      </x:c>
      <x:c r="R44" s="14" t="str">
        <x:v>Yes</x:v>
      </x:c>
      <x:c r="S44" s="14" t="str">
        <x:v>Gevi 10-Cup Drip Coffee Maker with Built-in Burr Grinder &amp; Programmable Timer, 1.5L Water Tank, Auto Keep-Warm, Reusable Filter - Fresh Ground Coffee Machine (Black)</x:v>
      </x:c>
      <x:c r="T44" s="14" t="str">
        <x:v>https://www.amazon.com/Gevi-Grinder-Programmable-Keep-Warm-Reusable/dp/B0GCLCWD7W?content-id=amzn1.sym.b5a23d82-51e0-47bf-aa2e-bf9c58e964a7%3Aamzn1.sym.b5a23d82-51e0-47bf-aa2e-bf9c58e964a7&amp;crid=1OFNG0VR57DW5&amp;cv_ct_cx=coffee%2Bmaker&amp;keywords=coffee%2Bmaker&amp;pd_rd_i=B0GCLCWD7W&amp;pd_rd_r=7b86b4fd-6ac2-4a90-b636-650c7ff04acb&amp;pd_rd_w=E7CD6&amp;pd_rd_wg=Jz4d5&amp;pf_rd_p=b5a23d82-51e0-47bf-aa2e-bf9c58e964a7&amp;pf_rd_r=DVDC8MZF0WK2QYGF9KJ2&amp;qid=1778622234&amp;sbo=RZvfv%2F%2FHxDF%2BO5021pAnSA%3D%3D&amp;sprefix=coff%2Caps%2C223&amp;sr=1-3-28dec9df-ff35-40b5-8e68-2d1c97dfc4dc-spons&amp;aref=YDwevO019h&amp;sp_csd=d2lkZ2V0TmFtZT1zcF9zZWFyY2hfdGhlbWF0aWM&amp;th=1&amp;linkCode=ll2&amp;tag=mobile07ee195-20&amp;linkId=0098363e3f06c15779b28fc62b84efb9&amp;language=en_US&amp;ref_=as_li_ss_tl</x:v>
      </x:c>
      <x:c r="U44" s="14" t="str">
        <x:v>Amazon title/link supplied in uploaded file; no review claims added.</x:v>
      </x:c>
    </x:row>
    <x:row r="45">
      <x:c r="A45" s="14" t="n">
        <x:v>44</x:v>
      </x:c>
      <x:c r="B45" s="14" t="str">
        <x:v>Espresso / Specialty Machines</x:v>
      </x:c>
      <x:c r="C45" s="14" t="str">
        <x:v>Capsule espresso/coffee machine</x:v>
      </x:c>
      <x:c r="D45" s="14" t="str">
        <x:v>Premium estimate</x:v>
      </x:c>
      <x:c r="E45" s="14" t="str">
        <x:v>Medium</x:v>
      </x:c>
      <x:c r="F45" s="14" t="str">
        <x:v>Medium</x:v>
      </x:c>
      <x:c r="G45" s="14" t="str">
        <x:v>General home coffee users</x:v>
      </x:c>
      <x:c r="H45" s="14" t="str">
        <x:v>Basic feature set; verify product details</x:v>
      </x:c>
      <x:c r="I45" s="14" t="str">
        <x:v>Use as the premium/upgrade pick in comparison tables.</x:v>
      </x:c>
      <x:c r="J45" s="14" t="str">
        <x:v>Best Beginner Espresso Machines and Specialty Coffee Makers</x:v>
      </x:c>
      <x:c r="K45" s="14" t="str">
        <x:v>Nespresso Vertuo Up Coffee and Espresso Maker by DeLonghi, Graphite</x:v>
      </x:c>
      <x:c r="L45" s="14" t="str">
        <x:v>View on Amazon</x:v>
      </x:c>
      <x:c r="M45" s="14" t="str">
        <x:v>Verify warranty, footprint, cleaning difficulty, and real user complaints before ranking high.</x:v>
      </x:c>
      <x:c r="N45" s="14" t="str">
        <x:v>beginner espresso machine, espresso machine with milk frother, specialty coffee maker</x:v>
      </x:c>
      <x:c r="O45" s="14" t="str">
        <x:v>https://amzn.to/4wvvQs0</x:v>
      </x:c>
      <x:c r="P45" s="14" t="str">
        <x:v>B0GLFXWT6Z</x:v>
      </x:c>
      <x:c r="Q45" s="14" t="str"/>
      <x:c r="R45" s="14" t="str">
        <x:v>No</x:v>
      </x:c>
      <x:c r="S45" s="14" t="str">
        <x:v>Nespresso Vertuo Up Coffee and Espresso Maker by DeLonghi, Graphite</x:v>
      </x:c>
      <x:c r="T45" s="14" t="str">
        <x:v>https://www.amazon.com/gp/aw/d/B0GLFXWT6Z?_encoding=UTF8&amp;pd_rd_plhdr=t&amp;aaxitk=2fe6c111c9541387bd3e4994f5d9e6b6&amp;hsa_cr_id=0&amp;qid=1778622234&amp;sr=1-1-f02f01d6-adaf-4bef-9a7c-29308eff9043&amp;pd_rd_w=7kHFI&amp;content-id=amzn1.sym.d3360101-5266-4e0e-8e4a-de7eb0be6ed9%3Aamzn1.sym.d3360101-5266-4e0e-8e4a-de7eb0be6ed9&amp;pf_rd_p=d3360101-5266-4e0e-8e4a-de7eb0be6ed9&amp;pf_rd_r=DVDC8MZF0WK2QYGF9KJ2&amp;pd_rd_wg=Jz4d5&amp;pd_rd_r=7b86b4fd-6ac2-4a90-b636-650c7ff04acb&amp;th=1&amp;linkCode=ll2&amp;tag=mobile07ee195-20&amp;linkId=51ddacdbc16d48a77a656178fc7ce7ce&amp;language=en_US&amp;ref_=as_li_ss_tl</x:v>
      </x:c>
      <x:c r="U45" s="14" t="str">
        <x:v>Amazon title/link supplied in uploaded file; no review claims added.</x:v>
      </x:c>
    </x:row>
    <x:row r="46">
      <x:c r="A46" s="14" t="n">
        <x:v>45</x:v>
      </x:c>
      <x:c r="B46" s="14" t="str">
        <x:v>Pour Over</x:v>
      </x:c>
      <x:c r="C46" s="14" t="str">
        <x:v>Pour-over kit</x:v>
      </x:c>
      <x:c r="D46" s="14" t="str">
        <x:v>Budget-to-mid estimate</x:v>
      </x:c>
      <x:c r="E46" s="14" t="str">
        <x:v>Low</x:v>
      </x:c>
      <x:c r="F46" s="14" t="str">
        <x:v>Medium</x:v>
      </x:c>
      <x:c r="G46" s="14" t="str">
        <x:v>General home coffee users</x:v>
      </x:c>
      <x:c r="H46" s="14" t="str">
        <x:v>Basic feature set; verify product details</x:v>
      </x:c>
      <x:c r="I46" s="14" t="str">
        <x:v>Use as the budget/value pick in comparison tables.</x:v>
      </x:c>
      <x:c r="J46" s="14" t="str">
        <x:v>Best Pour Over Coffee Makers and Starter Kits</x:v>
      </x:c>
      <x:c r="K46" s="14" t="str">
        <x:v>L'ÉPICÉA Pour Over Coffee Maker Set, Pour Over Coffee Maker with Stand, Adjustable Stainless St...</x:v>
      </x:c>
      <x:c r="L46" s="14" t="str">
        <x:v>View on Amazon</x:v>
      </x:c>
      <x:c r="M46" s="14" t="str">
        <x:v>Accessory, not a reusable pod itself.</x:v>
      </x:c>
      <x:c r="N46" s="14" t="str">
        <x:v>pour over coffee maker, pour over starter kit, coffee dripper</x:v>
      </x:c>
      <x:c r="O46" s="14" t="str">
        <x:v>https://amzn.to/4nvDDlC</x:v>
      </x:c>
      <x:c r="P46" s="14" t="str">
        <x:v>B0BW7JS57P</x:v>
      </x:c>
      <x:c r="Q46" s="14" t="str">
        <x:v>coffee maker</x:v>
      </x:c>
      <x:c r="R46" s="14" t="str">
        <x:v>Yes</x:v>
      </x:c>
      <x:c r="S46" s="14" t="str">
        <x:v>L'ÉPICÉA Pour Over Coffee Maker Set, Pour Over Coffee Maker with Stand, Adjustable Stainless Steel Stand, Wooden Base, Paper Filters, Cone Glass Coffee Carafe, Pour Over Coffee Dripper</x:v>
      </x:c>
      <x:c r="T46" s="14" t="str">
        <x:v>https://www.amazon.com/Coffee-Adjustable-Stainless-Filters-Dripper/dp/B0BW7JS57P?crid=1OFNG0VR57DW5&amp;dib=eyJ2IjoiMSJ9.IOQcVN2F0U2etjMJWTpi7P3dEXn1vojf7AxcGlCdxhk7rTpO08Ybxhv3tbgLKNmJxCDIfLPvJ4BDDx8zkZ9E3nIdqCxTjMK70Pn0H5jIY7MHk87lkclaQhL-kSDr9RppDUhJz5xUocdC_HbGP_6Lwm6vfPNB3rV07bGXdEzVALRxydy7RrmV5NMoMBlkKFL3GKW0cGcJpEfAmvMpHWwVuYY0NfRYYubTH1z9N3e-khdDC3VfxaT_SktgIU3AEryI7ILmiFYScnLfqA70gx_ybYE0BJUDemQHeAFalK5DfKA.E366BrD1WDZSgdXVTjUXbGeT-hWQ_j3hTgtkhkObkKI&amp;dib_tag=se&amp;keywords=coffee%2Bmaker&amp;qid=1778622234&amp;sprefix=coff%2Caps%2C223&amp;sr=8-20-spons&amp;sp_csd=d2lkZ2V0TmFtZT1zcF9tdGY&amp;th=1&amp;linkCode=ll2&amp;tag=mobile07ee195-20&amp;linkId=fad80cb44c36bc3194e9f69516fb0f30&amp;language=en_US&amp;ref_=as_li_ss_tl</x:v>
      </x:c>
      <x:c r="U46" s="14" t="str">
        <x:v>Amazon title/link supplied in uploaded file; no review claims added.</x:v>
      </x:c>
    </x:row>
    <x:row r="47">
      <x:c r="A47" s="14" t="n">
        <x:v>46</x:v>
      </x:c>
      <x:c r="B47" s="14" t="str">
        <x:v>Coffee Accessories</x:v>
      </x:c>
      <x:c r="C47" s="14" t="str">
        <x:v>Coffee Accessories</x:v>
      </x:c>
      <x:c r="D47" s="14" t="str">
        <x:v>Premium estimate</x:v>
      </x:c>
      <x:c r="E47" s="14" t="str">
        <x:v>Low</x:v>
      </x:c>
      <x:c r="F47" s="14" t="str">
        <x:v>Low</x:v>
      </x:c>
      <x:c r="G47" s="14" t="str">
        <x:v>Simple/manual-brewing users</x:v>
      </x:c>
      <x:c r="H47" s="14" t="str">
        <x:v>102 oz carafe; office use</x:v>
      </x:c>
      <x:c r="I47" s="14" t="str">
        <x:v>Use as the premium/upgrade pick in comparison tables.</x:v>
      </x:c>
      <x:c r="J47" s="14" t="str">
        <x:v>Best Coffee Accessories for Home Coffee Bars</x:v>
      </x:c>
      <x:c r="K47" s="14" t="str">
        <x:v>Thermal Coffee Carafe 102Oz w/Wood Trim, Keeps Coffee Hot for 12Hrs &amp; Cold for 36Hrs-Premium St...</x:v>
      </x:c>
      <x:c r="L47" s="14" t="str">
        <x:v>View on Amazon</x:v>
      </x:c>
      <x:c r="M47" s="14" t="str">
        <x:v>Verify current Amazon price, reviews, availability, and exact specs before publishing.</x:v>
      </x:c>
      <x:c r="N47" s="14" t="str">
        <x:v>coffee accessories, coffee gear, home coffee setup</x:v>
      </x:c>
      <x:c r="O47" s="14" t="str">
        <x:v>https://amzn.to/4nqEvrz</x:v>
      </x:c>
      <x:c r="P47" s="14" t="str">
        <x:v>B0CY39JGRS</x:v>
      </x:c>
      <x:c r="Q47" s="14" t="str">
        <x:v>coffee maker</x:v>
      </x:c>
      <x:c r="R47" s="14" t="str">
        <x:v>Yes</x:v>
      </x:c>
      <x:c r="S47" s="14" t="str">
        <x:v>Thermal Coffee Carafe 102Oz w/Wood Trim, Keeps Coffee Hot for 12Hrs &amp; Cold for 36Hrs-Premium Stainless Steel Carafe for Hot Liquids, Easy One-Handed Dispensing for Office, Home, Party, Durable Airpot</x:v>
      </x:c>
      <x:c r="T47" s="14" t="str">
        <x:v>https://www.amazon.com/24Hrs-Premium-Stainless-One-Handed-Dispensing-Dispenser/dp/B0CY39JGRS?crid=1OFNG0VR57DW5&amp;dib=eyJ2IjoiMSJ9.IOQcVN2F0U2etjMJWTpi7P3dEXn1vojf7AxcGlCdxhk7rTpO08Ybxhv3tbgLKNmJxCDIfLPvJ4BDDx8zkZ9E3nIdqCxTjMK70Pn0H5jIY7MHk87lkclaQhL-kSDr9RppDUhJz5xUocdC_HbGP_6Lwm6vfPNB3rV07bGXdEzVALRxydy7RrmV5NMoMBlkKFL3GKW0cGcJpEfAmvMpHWwVuYY0NfRYYubTH1z9N3e-khdDC3VfxaT_SktgIU3AEryI7ILmiFYScnLfqA70gx_ybYE0BJUDemQHeAFalK5DfKA.E366BrD1WDZSgdXVTjUXbGeT-hWQ_j3hTgtkhkObkKI&amp;dib_tag=se&amp;keywords=coffee%2Bmaker&amp;qid=1778622234&amp;sprefix=coff%2Caps%2C223&amp;sr=8-22-spons&amp;sp_csd=d2lkZ2V0TmFtZT1zcF9tdGY&amp;th=1&amp;linkCode=ll2&amp;tag=mobile07ee195-20&amp;linkId=1d4bc0c45d8a02cb0a69652be180df63&amp;language=en_US&amp;ref_=as_li_ss_tl</x:v>
      </x:c>
      <x:c r="U47" s="14" t="str">
        <x:v>Amazon title/link supplied in uploaded file; no review claims added.</x:v>
      </x:c>
    </x:row>
    <x:row r="48">
      <x:c r="A48" s="14" t="n">
        <x:v>47</x:v>
      </x:c>
      <x:c r="B48" s="14" t="str">
        <x:v>Coffee Makers</x:v>
      </x:c>
      <x:c r="C48" s="14" t="str">
        <x:v>Single-serve coffee maker</x:v>
      </x:c>
      <x:c r="D48" s="14" t="str">
        <x:v>Mid-to-premium estimate</x:v>
      </x:c>
      <x:c r="E48" s="14" t="str">
        <x:v>Low</x:v>
      </x:c>
      <x:c r="F48" s="14" t="str">
        <x:v>Medium</x:v>
      </x:c>
      <x:c r="G48" s="14" t="str">
        <x:v>Keurig/single-serve users</x:v>
      </x:c>
      <x:c r="H48" s="14" t="str">
        <x:v>56 oz reservoir</x:v>
      </x:c>
      <x:c r="I48" s="14" t="str">
        <x:v>Use as a middle option or comparison pick.</x:v>
      </x:c>
      <x:c r="J48" s="14" t="str">
        <x:v>Best Coffee Makers for Small Kitchens and Daily Use</x:v>
      </x:c>
      <x:c r="K48" s="14" t="str">
        <x:v>Ninja Pod &amp; Grounds Specialty Single-Serve Coffee Maker, K-Cup Pod Compatible, Brews Grounds, C...</x:v>
      </x:c>
      <x:c r="L48" s="14" t="str">
        <x:v>View on Amazon</x:v>
      </x:c>
      <x:c r="M48" s="14" t="str">
        <x:v>Verify warranty, footprint, cleaning difficulty, and real user complaints before ranking high.</x:v>
      </x:c>
      <x:c r="N48" s="14" t="str">
        <x:v>coffee accessories, coffee gear, home coffee setup</x:v>
      </x:c>
      <x:c r="O48" s="14" t="str">
        <x:v>https://amzn.to/4tubXyw</x:v>
      </x:c>
      <x:c r="P48" s="14" t="str">
        <x:v>B0DJFBF3SH</x:v>
      </x:c>
      <x:c r="Q48" s="14" t="str">
        <x:v>k cup coffee maker</x:v>
      </x:c>
      <x:c r="R48" s="14" t="str">
        <x:v>No</x:v>
      </x:c>
      <x:c r="S48" s="14" t="str">
        <x:v>Ninja Pod &amp; Grounds Specialty Single-Serve Coffee Maker, K-Cup Pod Compatible, Brews Grounds, Compact Design, Built-In Milk Frother, 56-oz. Reservoir, 6-oz. Cup to 24-oz. Mug Sizes, Stone, PB051ST</x:v>
      </x:c>
      <x:c r="T48" s="14" t="str">
        <x:v>https://www.amazon.com/Ninja-Specialty-Single-Serve-Compatible-PB051ST/dp/B0DJFBF3SH?crid=1SDBRJ3U8U2D1&amp;dib=eyJ2IjoiMSJ9.uGLJxOmSkVYqhLa03DbJlgHDVZszzBOSS4OC12UeI-81H8FdOxS8teL2GMB2nRqb6sJLY69TLaF7bgKcuGdpRkzatPWR0ER05C46zJLp12PkqnyJbdYsApjpjJaMjfgYDjJwIuaXU_tZJLhxscRVqbhqHQbnOa8ucXOd6lTKXdpM2Ox---kj5Qs3o71cnFnKN8c_OX2Be_Xp89TRRCItTtAoqGMKYTz2gOr0eojzhzdVzQpBkINuccZptQKKBKlub75NfjRPky9LwekiiwrpL3X1LNnUyYTyBofHNNIvM7k.2NWrGDEHFwqmSesPvxjpRVR--f66RPuPmuWIuSM6gVA&amp;dib_tag=se&amp;keywords=k%2Bcup%2Bcoffee%2Bmaker&amp;qid=1778622321&amp;sprefix=k%2Bcup%2Caps%2C213&amp;sr=8-6&amp;th=1&amp;linkCode=ll2&amp;tag=mobile07ee195-20&amp;linkId=451cdf163a2bad96462627074d40e19f&amp;language=en_US&amp;ref_=as_li_ss_tl</x:v>
      </x:c>
      <x:c r="U48" s="14" t="str">
        <x:v>Amazon title/link supplied in uploaded file; no review claims added.</x:v>
      </x:c>
    </x:row>
    <x:row r="49">
      <x:c r="A49" s="14" t="n">
        <x:v>48</x:v>
      </x:c>
      <x:c r="B49" s="14" t="str">
        <x:v>Coffee Makers</x:v>
      </x:c>
      <x:c r="C49" s="14" t="str">
        <x:v>Coffee maker</x:v>
      </x:c>
      <x:c r="D49" s="14" t="str">
        <x:v>Budget estimate</x:v>
      </x:c>
      <x:c r="E49" s="14" t="str">
        <x:v>Low</x:v>
      </x:c>
      <x:c r="F49" s="14" t="str">
        <x:v>Medium</x:v>
      </x:c>
      <x:c r="G49" s="14" t="str">
        <x:v>Travel, camping, office, or small-space setups</x:v>
      </x:c>
      <x:c r="H49" s="14" t="str">
        <x:v>travel/camping; office use</x:v>
      </x:c>
      <x:c r="I49" s="14" t="str">
        <x:v>Position as a travel/small-space coffee upgrade.</x:v>
      </x:c>
      <x:c r="J49" s="14" t="str">
        <x:v>Best Coffee Makers for Small Kitchens and Daily Use</x:v>
      </x:c>
      <x:c r="K49" s="14" t="str">
        <x:v>Tastyle Mini Hot and Iced Coffee Maker Single Serve, for K Cup and Ground, 6 to 14 Oz Brew Size...</x:v>
      </x:c>
      <x:c r="L49" s="14" t="str">
        <x:v>View on Amazon</x:v>
      </x:c>
      <x:c r="M49" s="14" t="str">
        <x:v>Verify warranty, footprint, cleaning difficulty, and real user complaints before ranking high.</x:v>
      </x:c>
      <x:c r="N49" s="14" t="str">
        <x:v>coffee accessories, coffee gear, home coffee setup</x:v>
      </x:c>
      <x:c r="O49" s="14" t="str">
        <x:v>https://amzn.to/4d8Fauk</x:v>
      </x:c>
      <x:c r="P49" s="14" t="str">
        <x:v>B0DHCJDJBW</x:v>
      </x:c>
      <x:c r="Q49" s="14" t="str">
        <x:v>k cup coffee maker</x:v>
      </x:c>
      <x:c r="R49" s="14" t="str">
        <x:v>No</x:v>
      </x:c>
      <x:c r="S49" s="14" t="str">
        <x:v>Tastyle Mini Hot and Iced Coffee Maker Single Serve, for K Cup and Ground, 6 to 14 Oz Brew Sizes, with Recipe Book, for Home, Travel, RV, Office and Dorm,Classic Black (2.0 Version)</x:v>
      </x:c>
      <x:c r="T49" s="14" t="str">
        <x:v>https://www.amazon.com/Tastyle-Coffee-Single-Classic-Version/dp/B0DHCJDJBW?crid=1SDBRJ3U8U2D1&amp;dib=eyJ2IjoiMSJ9.uGLJxOmSkVYqhLa03DbJlgHDVZszzBOSS4OC12UeI-81H8FdOxS8teL2GMB2nRqb6sJLY69TLaF7bgKcuGdpRkzatPWR0ER05C46zJLp12PkqnyJbdYsApjpjJaMjfgYDjJwIuaXU_tZJLhxscRVqbhqHQbnOa8ucXOd6lTKXdpM2Ox---kj5Qs3o71cnFnKN8c_OX2Be_Xp89TRRCItTtAoqGMKYTz2gOr0eojzhzdVzQpBkINuccZptQKKBKlub75NfjRPky9LwekiiwrpL3X1LNnUyYTyBofHNNIvM7k.2NWrGDEHFwqmSesPvxjpRVR--f66RPuPmuWIuSM6gVA&amp;dib_tag=se&amp;keywords=k%2Bcup%2Bcoffee%2Bmaker&amp;qid=1778622321&amp;sprefix=k%2Bcup%2Caps%2C213&amp;sr=8-7&amp;th=1&amp;linkCode=ll2&amp;tag=mobile07ee195-20&amp;linkId=f7882a14113ced15436ba9dca58177c3&amp;language=en_US&amp;ref_=as_li_ss_tl</x:v>
      </x:c>
      <x:c r="U49" s="14" t="str">
        <x:v>Amazon title/link supplied in uploaded file; no review claims added.</x:v>
      </x:c>
    </x:row>
    <x:row r="50">
      <x:c r="A50" s="14" t="n">
        <x:v>49</x:v>
      </x:c>
      <x:c r="B50" s="14" t="str">
        <x:v>Coffee Makers</x:v>
      </x:c>
      <x:c r="C50" s="14" t="str">
        <x:v>Drip coffee maker</x:v>
      </x:c>
      <x:c r="D50" s="14" t="str">
        <x:v>Mid-to-premium estimate</x:v>
      </x:c>
      <x:c r="E50" s="14" t="str">
        <x:v>Low</x:v>
      </x:c>
      <x:c r="F50" s="14" t="str">
        <x:v>Medium</x:v>
      </x:c>
      <x:c r="G50" s="14" t="str">
        <x:v>Travel, camping, office, or small-space setups</x:v>
      </x:c>
      <x:c r="H50" s="14" t="str">
        <x:v>USB-C rechargeable; portable; travel/camping; office use</x:v>
      </x:c>
      <x:c r="I50" s="14" t="str">
        <x:v>Position as a travel/small-space coffee upgrade.</x:v>
      </x:c>
      <x:c r="J50" s="14" t="str">
        <x:v>Best Coffee Makers for Small Kitchens and Daily Use</x:v>
      </x:c>
      <x:c r="K50" s="14" t="str">
        <x:v>BougeRV Portable Drip Coffee Maker Compatible with K Cup &amp; Ground Coffee, Electric Car Coffee M...</x:v>
      </x:c>
      <x:c r="L50" s="14" t="str">
        <x:v>View on Amazon</x:v>
      </x:c>
      <x:c r="M50" s="14" t="str">
        <x:v>Verify warranty, footprint, cleaning difficulty, and real user complaints before ranking high.</x:v>
      </x:c>
      <x:c r="N50" s="14" t="str">
        <x:v>coffee accessories, coffee gear, home coffee setup</x:v>
      </x:c>
      <x:c r="O50" s="14" t="str">
        <x:v>https://amzn.to/430BWmy</x:v>
      </x:c>
      <x:c r="P50" s="14" t="str">
        <x:v>B0GGH9386Z</x:v>
      </x:c>
      <x:c r="Q50" s="14" t="str">
        <x:v>k cup coffee maker</x:v>
      </x:c>
      <x:c r="R50" s="14" t="str">
        <x:v>Yes</x:v>
      </x:c>
      <x:c r="S50" s="14" t="str">
        <x:v>BougeRV Portable Drip Coffee Maker Compatible with K Cup &amp; Ground Coffee, Electric Car Coffee Machine Self-Heating LCD Display USB-C for Travel, Bussiness Trips, Hotel, Camping, Office, Outdoors</x:v>
      </x:c>
      <x:c r="T50" s="14" t="str">
        <x:v>https://www.amazon.com/BougeRV-Portable-Compatible-Self-Heating-Bussiness/dp/B0GGH9386Z?crid=1SDBRJ3U8U2D1&amp;dib=eyJ2IjoiMSJ9.uGLJxOmSkVYqhLa03DbJlgHDVZszzBOSS4OC12UeI-81H8FdOxS8teL2GMB2nRqb6sJLY69TLaF7bgKcuGdpRkzatPWR0ER05C46zJLp12PkqnyJbdYsApjpjJaMjfgYDjJwIuaXU_tZJLhxscRVqbhqHQbnOa8ucXOd6lTKXdpM2Ox---kj5Qs3o71cnFnKN8c_OX2Be_Xp89TRRCItTtAoqGMKYTz2gOr0eojzhzdVzQpBkINuccZptQKKBKlub75NfjRPky9LwekiiwrpL3X1LNnUyYTyBofHNNIvM7k.2NWrGDEHFwqmSesPvxjpRVR--f66RPuPmuWIuSM6gVA&amp;dib_tag=se&amp;keywords=k+cup+coffee+maker&amp;qid=1778622321&amp;sprefix=k+cup%2Caps%2C213&amp;sr=8-12-spons&amp;sp_csd=d2lkZ2V0TmFtZT1zcF9tdGY&amp;psc=1&amp;linkCode=ll2&amp;tag=mobile07ee195-20&amp;linkId=5d17ef850bd5cd5f2d62441ef38b41f6&amp;language=en_US&amp;ref_=as_li_ss_tl</x:v>
      </x:c>
      <x:c r="U50" s="14" t="str">
        <x:v>Amazon title/link supplied in uploaded file; no review claims added.</x:v>
      </x:c>
    </x:row>
    <x:row r="51">
      <x:c r="A51" s="14" t="n">
        <x:v>50</x:v>
      </x:c>
      <x:c r="B51" s="14" t="str">
        <x:v>Coffee Makers</x:v>
      </x:c>
      <x:c r="C51" s="14" t="str">
        <x:v>Grind-and-brew coffee maker</x:v>
      </x:c>
      <x:c r="D51" s="14" t="str">
        <x:v>Mid-to-premium estimate</x:v>
      </x:c>
      <x:c r="E51" s="14" t="str">
        <x:v>Low</x:v>
      </x:c>
      <x:c r="F51" s="14" t="str">
        <x:v>Medium</x:v>
      </x:c>
      <x:c r="G51" s="14" t="str">
        <x:v>People who want fewer separate devices</x:v>
      </x:c>
      <x:c r="H51" s="14" t="str">
        <x:v>built-in grinder</x:v>
      </x:c>
      <x:c r="I51" s="14" t="str">
        <x:v>Position as an all-in-one convenience pick.</x:v>
      </x:c>
      <x:c r="J51" s="14" t="str">
        <x:v>Best Coffee Makers for Small Kitchens and Daily Use</x:v>
      </x:c>
      <x:c r="K51" s="14" t="str">
        <x:v>AIRMSEN Grind &amp; Brew Coffee Maker with Built-in Grinder (2026 Model) - Single-Serve, Compatible...</x:v>
      </x:c>
      <x:c r="L51" s="14" t="str">
        <x:v>View on Amazon</x:v>
      </x:c>
      <x:c r="M51" s="14" t="str">
        <x:v>Verify warranty, footprint, cleaning difficulty, and real user complaints before ranking high.</x:v>
      </x:c>
      <x:c r="N51" s="14" t="str">
        <x:v>coffee accessories, coffee gear, home coffee setup</x:v>
      </x:c>
      <x:c r="O51" s="14" t="str">
        <x:v>https://amzn.to/3PcACtF</x:v>
      </x:c>
      <x:c r="P51" s="14" t="str">
        <x:v>B0GX8XV8BB</x:v>
      </x:c>
      <x:c r="Q51" s="14" t="str">
        <x:v>k cup coffee maker</x:v>
      </x:c>
      <x:c r="R51" s="14" t="str">
        <x:v>Yes</x:v>
      </x:c>
      <x:c r="S51" s="14" t="str">
        <x:v>AIRMSEN Grind &amp; Brew Coffee Maker with Built-in Grinder (2026 Model) - Single-Serve, Compatible with K-Cup Pods &amp; Ground, 1000W Fast 6-14oz Brewer, Descaling Alert, Touchscreen &amp; 50oz Removable Tank</x:v>
      </x:c>
      <x:c r="T51" s="14" t="str">
        <x:v>https://www.amazon.com/AIRMSEN-Grind-Coffee-Built-Grinder/dp/B0GX8XV8BB?crid=1SDBRJ3U8U2D1&amp;dib=eyJ2IjoiMSJ9.uGLJxOmSkVYqhLa03DbJlgHDVZszzBOSS4OC12UeI-81H8FdOxS8teL2GMB2nRqb6sJLY69TLaF7bgKcuGdpRkzatPWR0ER05C46zJLp12PkqnyJbdYsApjpjJaMjfgYDjJwIuaXU_tZJLhxscRVqbhqHQbnOa8ucXOd6lTKXdpM2Ox---kj5Qs3o71cnFnKN8c_OX2Be_Xp89TRRCItTtAoqGMKYTz2gOr0eojzhzdVzQpBkINuccZptQKKBKlub75NfjRPky9LwekiiwrpL3X1LNnUyYTyBofHNNIvM7k.2NWrGDEHFwqmSesPvxjpRVR--f66RPuPmuWIuSM6gVA&amp;dib_tag=se&amp;keywords=k+cup+coffee+maker&amp;qid=1778622321&amp;sprefix=k+cup%2Caps%2C213&amp;sr=8-22-spons&amp;sp_csd=d2lkZ2V0TmFtZT1zcF9tdGY&amp;psc=1&amp;linkCode=ll2&amp;tag=mobile07ee195-20&amp;linkId=5f02394ba5cb9c96983e8a8308429a55&amp;language=en_US&amp;ref_=as_li_ss_tl</x:v>
      </x:c>
      <x:c r="U51" s="14" t="str">
        <x:v>Amazon title/link supplied in uploaded file; no review claims added.</x:v>
      </x:c>
    </x:row>
    <x:row r="52">
      <x:c r="A52" s="14" t="n">
        <x:v>51</x:v>
      </x:c>
      <x:c r="B52" s="14" t="str">
        <x:v>K-Cup Accessories</x:v>
      </x:c>
      <x:c r="C52" s="14" t="str">
        <x:v>Paper filters for reusable pods</x:v>
      </x:c>
      <x:c r="D52" s="14" t="str">
        <x:v>Mid estimate</x:v>
      </x:c>
      <x:c r="E52" s="14" t="str">
        <x:v>Low</x:v>
      </x:c>
      <x:c r="F52" s="14" t="str">
        <x:v>Low</x:v>
      </x:c>
      <x:c r="G52" s="14" t="str">
        <x:v>General home coffee users</x:v>
      </x:c>
      <x:c r="H52" s="14" t="str">
        <x:v>Basic feature set; verify product details</x:v>
      </x:c>
      <x:c r="I52" s="14" t="str">
        <x:v>Use as a middle option or comparison pick.</x:v>
      </x:c>
      <x:c r="J52" s="14" t="str">
        <x:v>Best Reusable K-Cup Accessories</x:v>
      </x:c>
      <x:c r="K52" s="14" t="str">
        <x:v>Coffee Pod Maker Stand, Solid Wood Reusable K-Cup Filter Holder &amp; Filling Station with Coffee G...</x:v>
      </x:c>
      <x:c r="L52" s="14" t="str">
        <x:v>View on Amazon</x:v>
      </x:c>
      <x:c r="M52" s="14" t="str">
        <x:v>Verify current Amazon price, reviews, availability, and exact specs before publishing.</x:v>
      </x:c>
      <x:c r="N52" s="14" t="str">
        <x:v>reusable k cup accessories, k cup filters, k cup filling station</x:v>
      </x:c>
      <x:c r="O52" s="14" t="str">
        <x:v>https://amzn.to/42v79OA</x:v>
      </x:c>
      <x:c r="P52" s="14" t="str">
        <x:v>B0GHMF8YQD</x:v>
      </x:c>
      <x:c r="Q52" s="14" t="str">
        <x:v>k cup coffee maker</x:v>
      </x:c>
      <x:c r="R52" s="14" t="str">
        <x:v>Yes</x:v>
      </x:c>
      <x:c r="S52" s="14" t="str">
        <x:v>Coffee Pod Maker Stand, Solid Wood Reusable K-Cup Filter Holder &amp; Filling Station with Coffee Ground Storage Drawer &amp; Waste Bin, Countertop Wood Coffee Bar Organizer, Easy Daily Refill (Oak)</x:v>
      </x:c>
      <x:c r="T52" s="14" t="str">
        <x:v>https://www.amazon.com/Reusable-Filling-Station-Countertop-Organizer/dp/B0GHMF8YQD?crid=1SDBRJ3U8U2D1&amp;dib=eyJ2IjoiMSJ9.uGLJxOmSkVYqhLa03DbJlgHDVZszzBOSS4OC12UeI-81H8FdOxS8teL2GMB2nRqb6sJLY69TLaF7bgKcuGdpRkzatPWR0ER05C46zJLp12PkqnyJbdYsApjpjJaMjfgYDjJwIuaXU_tZJLhxscRVqbhqHQbnOa8ucXOd6lTKXdpM2Ox---kj5Qs3o71cnFnKN8c_OX2Be_Xp89TRRCItTtAoqGMKYTz2gOr0eojzhzdVzQpBkINuccZptQKKBKlub75NfjRPky9LwekiiwrpL3X1LNnUyYTyBofHNNIvM7k.2NWrGDEHFwqmSesPvxjpRVR--f66RPuPmuWIuSM6gVA&amp;dib_tag=se&amp;keywords=k%2Bcup%2Bcoffee%2Bmaker&amp;qid=1778622321&amp;sprefix=k%2Bcup%2Caps%2C213&amp;sr=8-21-spons&amp;sp_csd=d2lkZ2V0TmFtZT1zcF9tdGY&amp;th=1&amp;linkCode=ll2&amp;tag=mobile07ee195-20&amp;linkId=c77844715a0ab0e0f239d318ff2748cb&amp;language=en_US&amp;ref_=as_li_ss_tl</x:v>
      </x:c>
      <x:c r="U52" s="14" t="str">
        <x:v>Amazon title/link supplied in uploaded file; no review claims added.</x:v>
      </x:c>
    </x:row>
    <x:row r="53">
      <x:c r="A53" s="14" t="n">
        <x:v>52</x:v>
      </x:c>
      <x:c r="B53" s="14" t="str">
        <x:v>Reusable K-Cups / Single-Serve</x:v>
      </x:c>
      <x:c r="C53" s="14" t="str">
        <x:v>Reusable metal K-Cup pod</x:v>
      </x:c>
      <x:c r="D53" s="14" t="str">
        <x:v>Budget-to-mid estimate</x:v>
      </x:c>
      <x:c r="E53" s="14" t="str">
        <x:v>Low</x:v>
      </x:c>
      <x:c r="F53" s="14" t="str">
        <x:v>High</x:v>
      </x:c>
      <x:c r="G53" s="14" t="str">
        <x:v>Keurig/single-serve users</x:v>
      </x:c>
      <x:c r="H53" s="14" t="str">
        <x:v>scoop included; stainless steel reusable pod; BPA-free; SUS 304 stainless steel</x:v>
      </x:c>
      <x:c r="I53" s="14" t="str">
        <x:v>Position as a material-focused alternative; keep claims cautious.</x:v>
      </x:c>
      <x:c r="J53" s="14" t="str">
        <x:v>Best Reusable K-Cups and Metal Coffee Pods</x:v>
      </x:c>
      <x:c r="K53" s="14" t="str">
        <x:v>4 Pack Reusable K Cups Coffee Pods for Keurig 1.0: Stainless Steel Reusable Coffee Pods for Keu...</x:v>
      </x:c>
      <x:c r="L53" s="14" t="str">
        <x:v>View on Amazon</x:v>
      </x:c>
      <x:c r="M53" s="14" t="str">
        <x:v>Health/material claims should be phrased as 'listed as' unless independently verified. Check Keurig model compatibility before recommending.</x:v>
      </x:c>
      <x:c r="N53" s="14" t="str">
        <x:v>reusable k cups, metal k cups, reusable Keurig pods</x:v>
      </x:c>
      <x:c r="O53" s="14" t="str">
        <x:v>https://amzn.to/433JUeB</x:v>
      </x:c>
      <x:c r="P53" s="14" t="str">
        <x:v>B0F99LMHLJ</x:v>
      </x:c>
      <x:c r="Q53" s="14" t="str">
        <x:v>reusable k cups</x:v>
      </x:c>
      <x:c r="R53" s="14" t="str">
        <x:v>Yes</x:v>
      </x:c>
      <x:c r="S53" s="14" t="str">
        <x:v>4 Pack Reusable K Cups Coffee Pods for Keurig 1.0: Stainless Steel Reusable Coffee Pods for Keurig Coffee Pods Reusable, BPA-Free, SUS 304‌, Scoop, Heat Resistant Handles</x:v>
      </x:c>
      <x:c r="T53" s="14" t="str">
        <x:v>https://www.amazon.com/Pack-Reusable-Cups-Coffee-Keurig/dp/B0F99LMHLJ?crid=S47YRL79GLO2&amp;dib=eyJ2IjoiMSJ9.53K8RQCzN9LWVNYBGe7PKwd59OPvf1LoU1GD2QXS2D1_e84rjad4L5_wq_hCETiti_6aFC0B7_k7uRuftFwhN7lEVxwzgfdKFh3jeqA2Utc_nPhkOBjUASOO9tMIsxire432fd5va_jZZiU7wUqAOeRbutCgRzbX1mvNuE29PsKoBscSZve8jhnJ2PwJpLAQ5gSeVCPVt9jLxsF-9a7dkmvWFhbW7dJoYVTo9XjxkNj2XSNsYxvhYFRMK1bg5QVXetHb5gO44abqjH7giHOSzCG_iJbS98hGUi1BYqM1bLg.Mjyq1L7jrQmUqmDIpSJ7YzF7bfdkp9CLG2GZWxleAHo&amp;dib_tag=se&amp;keywords=reusable%2Bk%2Bcups&amp;qid=1778622407&amp;sprefix=rek%2Bcups%2Caps%2C213&amp;sr=8-1-spons&amp;sp_csd=d2lkZ2V0TmFtZT1zcF9hdGY&amp;th=1&amp;linkCode=ll2&amp;tag=mobile07ee195-20&amp;linkId=b2c4a5af00db1bf702cdc81b65363d53&amp;language=en_US&amp;ref_=as_li_ss_tl</x:v>
      </x:c>
      <x:c r="U53" s="14" t="str">
        <x:v>Amazon title/link supplied in uploaded file; no review claims added.</x:v>
      </x:c>
    </x:row>
    <x:row r="54">
      <x:c r="A54" s="14" t="n">
        <x:v>53</x:v>
      </x:c>
      <x:c r="B54" s="14" t="str">
        <x:v>Reusable K-Cups / Single-Serve</x:v>
      </x:c>
      <x:c r="C54" s="14" t="str">
        <x:v>Reusable metal K-Cup pod</x:v>
      </x:c>
      <x:c r="D54" s="14" t="str">
        <x:v>Budget-to-mid estimate</x:v>
      </x:c>
      <x:c r="E54" s="14" t="str">
        <x:v>Low</x:v>
      </x:c>
      <x:c r="F54" s="14" t="str">
        <x:v>High</x:v>
      </x:c>
      <x:c r="G54" s="14" t="str">
        <x:v>Keurig/single-serve users</x:v>
      </x:c>
      <x:c r="H54" s="14" t="str">
        <x:v>Basic feature set; verify product details</x:v>
      </x:c>
      <x:c r="I54" s="14" t="str">
        <x:v>Position as a material-focused alternative; keep claims cautious.</x:v>
      </x:c>
      <x:c r="J54" s="14" t="str">
        <x:v>Best Reusable K-Cups and Metal Coffee Pods</x:v>
      </x:c>
      <x:c r="K54" s="14" t="str">
        <x:v>Noalto Reusable K Cups and Coffee Pods,Universal stainless steel k Cups for Keurig 2.0 and 1.0 ...</x:v>
      </x:c>
      <x:c r="L54" s="14" t="str">
        <x:v>View on Amazon</x:v>
      </x:c>
      <x:c r="M54" s="14" t="str">
        <x:v>Check Keurig model compatibility before recommending.</x:v>
      </x:c>
      <x:c r="N54" s="14" t="str">
        <x:v>reusable k cups, metal k cups, reusable Keurig pods</x:v>
      </x:c>
      <x:c r="O54" s="14" t="str">
        <x:v>https://amzn.to/438J4x6</x:v>
      </x:c>
      <x:c r="P54" s="14" t="str">
        <x:v>B09F8J3932</x:v>
      </x:c>
      <x:c r="Q54" s="14" t="str">
        <x:v>reusable k cups</x:v>
      </x:c>
      <x:c r="R54" s="14" t="str">
        <x:v>Yes</x:v>
      </x:c>
      <x:c r="S54" s="14" t="str">
        <x:v>Noalto Reusable K Cups and Coffee Pods,Universal stainless steel k Cups for Keurig 2.0 and 1.0 Coffee Makers machine(2pack)</x:v>
      </x:c>
      <x:c r="T54" s="14" t="str">
        <x:v>https://www.amazon.com/Reusable-Universal-stainless-Refillable-Makers-brewers/dp/B09F8J3932?crid=S47YRL79GLO2&amp;dib=eyJ2IjoiMSJ9.53K8RQCzN9LWVNYBGe7PKwd59OPvf1LoU1GD2QXS2D1_e84rjad4L5_wq_hCETiti_6aFC0B7_k7uRuftFwhN7lEVxwzgfdKFh3jeqA2Utc_nPhkOBjUASOO9tMIsxire432fd5va_jZZiU7wUqAOeRbutCgRzbX1mvNuE29PsKoBscSZve8jhnJ2PwJpLAQ5gSeVCPVt9jLxsF-9a7dkmvWFhbW7dJoYVTo9XjxkNj2XSNsYxvhYFRMK1bg5QVXetHb5gO44abqjH7giHOSzCG_iJbS98hGUi1BYqM1bLg.Mjyq1L7jrQmUqmDIpSJ7YzF7bfdkp9CLG2GZWxleAHo&amp;dib_tag=se&amp;keywords=reusable%2Bk%2Bcups&amp;qid=1778622407&amp;sprefix=rek%2Bcups%2Caps%2C213&amp;sr=8-4-spons&amp;sp_csd=d2lkZ2V0TmFtZT1zcF9hdGY&amp;th=1&amp;linkCode=ll2&amp;tag=mobile07ee195-20&amp;linkId=f2feee94aa599fce9bc040ec26178b59&amp;language=en_US&amp;ref_=as_li_ss_tl</x:v>
      </x:c>
      <x:c r="U54" s="14" t="str">
        <x:v>Amazon title/link supplied in uploaded file; no review claims added.</x:v>
      </x:c>
    </x:row>
    <x:row r="55">
      <x:c r="A55" s="14" t="n">
        <x:v>54</x:v>
      </x:c>
      <x:c r="B55" s="14" t="str">
        <x:v>K-Cup Accessories</x:v>
      </x:c>
      <x:c r="C55" s="14" t="str">
        <x:v>Reusable pod filling tool</x:v>
      </x:c>
      <x:c r="D55" s="14" t="str">
        <x:v>Budget-to-mid estimate</x:v>
      </x:c>
      <x:c r="E55" s="14" t="str">
        <x:v>Low</x:v>
      </x:c>
      <x:c r="F55" s="14" t="str">
        <x:v>Low</x:v>
      </x:c>
      <x:c r="G55" s="14" t="str">
        <x:v>Keurig/single-serve users</x:v>
      </x:c>
      <x:c r="H55" s="14" t="str">
        <x:v>scoop included</x:v>
      </x:c>
      <x:c r="I55" s="14" t="str">
        <x:v>Use as the budget/value pick in comparison tables.</x:v>
      </x:c>
      <x:c r="J55" s="14" t="str">
        <x:v>Best Reusable K-Cup Accessories</x:v>
      </x:c>
      <x:c r="K55" s="14" t="str">
        <x:v>CAPMESSO Coffee Scoop &amp; Funnel for Reusable K Cup Refillable Coffee Pods: 2 Tablespoon Coffee M...</x:v>
      </x:c>
      <x:c r="L55" s="14" t="str">
        <x:v>View on Amazon</x:v>
      </x:c>
      <x:c r="M55" s="14" t="str">
        <x:v>Verify current Amazon price, reviews, availability, and exact specs before publishing.</x:v>
      </x:c>
      <x:c r="N55" s="14" t="str">
        <x:v>reusable k cup accessories, k cup filters, k cup filling station</x:v>
      </x:c>
      <x:c r="O55" s="14" t="str">
        <x:v>https://amzn.to/4dqEE9X</x:v>
      </x:c>
      <x:c r="P55" s="14" t="str">
        <x:v>B0F32NS5HS</x:v>
      </x:c>
      <x:c r="Q55" s="14" t="str">
        <x:v>reusable k cups</x:v>
      </x:c>
      <x:c r="R55" s="14" t="str">
        <x:v>Yes</x:v>
      </x:c>
      <x:c r="S55" s="14" t="str">
        <x:v>CAPMESSO Coffee Scoop &amp; Funnel for Reusable K Cup Refillable Coffee Pods: 2 Tablespoon Coffee Measuring Scoop - Easy Slide Scoop for Ground Coffee, Protein Powder, Tea without Spilling (1 Pack)</x:v>
      </x:c>
      <x:c r="T55" s="14" t="str">
        <x:v>https://www.amazon.com/CAPMESSO-Coffee-Funnel-Reusable-Refillable/dp/B0F32NS5HS?crid=S47YRL79GLO2&amp;dib=eyJ2IjoiMSJ9.53K8RQCzN9LWVNYBGe7PKwd59OPvf1LoU1GD2QXS2D1_e84rjad4L5_wq_hCETiti_6aFC0B7_k7uRuftFwhN7lEVxwzgfdKFh3jeqA2Utc_nPhkOBjUASOO9tMIsxire432fd5va_jZZiU7wUqAOeRbutCgRzbX1mvNuE29PsKoBscSZve8jhnJ2PwJpLAQ5gSeVCPVt9jLxsF-9a7dkmvWFhbW7dJoYVTo9XjxkNj2XSNsYxvhYFRMK1bg5QVXetHb5gO44abqjH7giHOSzCG_iJbS98hGUi1BYqM1bLg.Mjyq1L7jrQmUqmDIpSJ7YzF7bfdkp9CLG2GZWxleAHo&amp;dib_tag=se&amp;keywords=reusable%2Bk%2Bcups&amp;qid=1778622407&amp;sprefix=rek%2Bcups%2Caps%2C213&amp;sr=8-20-spons&amp;sp_csd=d2lkZ2V0TmFtZT1zcF9tdGY&amp;th=1&amp;linkCode=ll2&amp;tag=mobile07ee195-20&amp;linkId=f753f3bd334047c536b5405367b4532e&amp;language=en_US&amp;ref_=as_li_ss_tl</x:v>
      </x:c>
      <x:c r="U55" s="14" t="str">
        <x:v>Amazon title/link supplied in uploaded file; no review claims added.</x:v>
      </x:c>
    </x:row>
    <x:row r="56">
      <x:c r="A56" s="14" t="n">
        <x:v>55</x:v>
      </x:c>
      <x:c r="B56" s="14" t="str">
        <x:v>Reusable K-Cups / Single-Serve</x:v>
      </x:c>
      <x:c r="C56" s="14" t="str">
        <x:v>Reusable metal K-Cup pod</x:v>
      </x:c>
      <x:c r="D56" s="14" t="str">
        <x:v>Budget-to-mid estimate</x:v>
      </x:c>
      <x:c r="E56" s="14" t="str">
        <x:v>Low</x:v>
      </x:c>
      <x:c r="F56" s="14" t="str">
        <x:v>High</x:v>
      </x:c>
      <x:c r="G56" s="14" t="str">
        <x:v>Keurig/single-serve users</x:v>
      </x:c>
      <x:c r="H56" s="14" t="str">
        <x:v>all stainless steel; non-plastic; no seal gasket; heat safe</x:v>
      </x:c>
      <x:c r="I56" s="14" t="str">
        <x:v>Position as a material-focused alternative; keep claims cautious.</x:v>
      </x:c>
      <x:c r="J56" s="14" t="str">
        <x:v>Best Reusable K-Cups and Metal Coffee Pods</x:v>
      </x:c>
      <x:c r="K56" s="14" t="str">
        <x:v>2 Pack Reusable K Cups for Keurig- All Stainless Steel Coffee Pods for Keurig 1 Prong Coffee Ma...</x:v>
      </x:c>
      <x:c r="L56" s="14" t="str">
        <x:v>View on Amazon</x:v>
      </x:c>
      <x:c r="M56" s="14" t="str">
        <x:v>Title contains spelling/wording issues; clean up display name in blog. Check Keurig model compatibility before recommending.</x:v>
      </x:c>
      <x:c r="N56" s="14" t="str">
        <x:v>reusable k cups, metal k cups, reusable Keurig pods</x:v>
      </x:c>
      <x:c r="O56" s="14" t="str">
        <x:v>https://amzn.to/3PxWZK9</x:v>
      </x:c>
      <x:c r="P56" s="14" t="str">
        <x:v>B0FXDQKNQQ</x:v>
      </x:c>
      <x:c r="Q56" s="14" t="str">
        <x:v>reusable k cups</x:v>
      </x:c>
      <x:c r="R56" s="14" t="str">
        <x:v>No</x:v>
      </x:c>
      <x:c r="S56" s="14" t="str">
        <x:v>2 Pack Reusable K Cups for Keurig- All Stainless Steel Coffee Pods for Keurig 1 Prong Coffee Machine, No Seal Gasket, Non Plasic, Heat Safe, All in One Set</x:v>
      </x:c>
      <x:c r="T56" s="14" t="str">
        <x:v>https://www.amazon.com/Reusable-Keurig-Stainless-Coffee-Machine/dp/B0FXDQKNQQ?crid=S47YRL79GLO2&amp;dib=eyJ2IjoiMSJ9.53K8RQCzN9LWVNYBGe7PKwd59OPvf1LoU1GD2QXS2D1_e84rjad4L5_wq_hCETiti_6aFC0B7_k7uRuftFwhN7lEVxwzgfdKFh3jeqA2Utc_nPhkOBjUASOO9tMIsxire432fd5va_jZZiU7wUqAOeRbutCgRzbX1mvNuE29PsKoBscSZve8jhnJ2PwJpLAQ5gSeVCPVt9jLxsF-9a7dkmvWFhbW7dJoYVTo9XjxkNj2XSNsYxvhYFRMK1bg5QVXetHb5gO44abqjH7giHOSzCG_iJbS98hGUi1BYqM1bLg.Mjyq1L7jrQmUqmDIpSJ7YzF7bfdkp9CLG2GZWxleAHo&amp;dib_tag=se&amp;keywords=reusable%2Bk%2Bcups&amp;qid=1778622407&amp;sprefix=rek%2Bcups%2Caps%2C213&amp;sr=8-34&amp;th=1&amp;linkCode=ll2&amp;tag=mobile07ee195-20&amp;linkId=4bb5c75b8b8c45432101a88c0b5a7c80&amp;language=en_US&amp;ref_=as_li_ss_tl</x:v>
      </x:c>
      <x:c r="U56" s="14" t="str">
        <x:v>Amazon title/link supplied in uploaded file; no review claims added.</x:v>
      </x:c>
    </x:row>
    <x:row r="57">
      <x:c r="A57" s="14" t="n">
        <x:v>56</x:v>
      </x:c>
      <x:c r="B57" s="14" t="str">
        <x:v>K-Cup Accessories</x:v>
      </x:c>
      <x:c r="C57" s="14" t="str">
        <x:v>Paper filters for reusable pods</x:v>
      </x:c>
      <x:c r="D57" s="14" t="str">
        <x:v>Budget-to-mid estimate</x:v>
      </x:c>
      <x:c r="E57" s="14" t="str">
        <x:v>Low</x:v>
      </x:c>
      <x:c r="F57" s="14" t="str">
        <x:v>Low</x:v>
      </x:c>
      <x:c r="G57" s="14" t="str">
        <x:v>Keurig/single-serve users</x:v>
      </x:c>
      <x:c r="H57" s="14" t="str">
        <x:v>300-count filters</x:v>
      </x:c>
      <x:c r="I57" s="14" t="str">
        <x:v>Use as the budget/value pick in comparison tables.</x:v>
      </x:c>
      <x:c r="J57" s="14" t="str">
        <x:v>Best Reusable K-Cup Accessories</x:v>
      </x:c>
      <x:c r="K57" s="14" t="str">
        <x:v>CAPMESSO Disposable Coffee Paper Filters Replacement Keurig Filter Compatible with Reusable Sin...</x:v>
      </x:c>
      <x:c r="L57" s="14" t="str">
        <x:v>View on Amazon</x:v>
      </x:c>
      <x:c r="M57" s="14" t="str">
        <x:v>Accessory, not a reusable pod itself.</x:v>
      </x:c>
      <x:c r="N57" s="14" t="str">
        <x:v>reusable k cup accessories, k cup filters, k cup filling station</x:v>
      </x:c>
      <x:c r="O57" s="14" t="str">
        <x:v>https://amzn.to/4wrIvMk</x:v>
      </x:c>
      <x:c r="P57" s="14" t="str">
        <x:v>B07SG8GGY6</x:v>
      </x:c>
      <x:c r="Q57" s="14" t="str">
        <x:v>reusable k cups</x:v>
      </x:c>
      <x:c r="R57" s="14" t="str">
        <x:v>No</x:v>
      </x:c>
      <x:c r="S57" s="14" t="str">
        <x:v>CAPMESSO Disposable Coffee Paper Filters Replacement Keurig Filter Compatible with Reusable Single Serve Pods Keurig Coffee Maker-300 Count (Natural)</x:v>
      </x:c>
      <x:c r="T57" s="14" t="str">
        <x:v>https://www.amazon.com/CAPMESSO-Disposable-Filters-Replacement-Reusable/dp/B07SG8GGY6?crid=S47YRL79GLO2&amp;dib=eyJ2IjoiMSJ9.53K8RQCzN9LWVNYBGe7PKwd59OPvf1LoU1GD2QXS2D1_e84rjad4L5_wq_hCETiti_6aFC0B7_k7uRuftFwhN7lEVxwzgfdKFh3jeqA2Utc_nPhkOBjUASOO9tMIsxire432fd5va_jZZiU7wUqAOeRbutCgRzbX1mvNuE29PsKoBscSZve8jhnJ2PwJpLAQ5gSeVCPVt9jLxsF-9a7dkmvWFhbW7dJoYVTo9XjxkNj2XSNsYxvhYFRMK1bg5QVXetHb5gO44abqjH7giHOSzCG_iJbS98hGUi1BYqM1bLg.Mjyq1L7jrQmUqmDIpSJ7YzF7bfdkp9CLG2GZWxleAHo&amp;dib_tag=se&amp;keywords=reusable%2Bk%2Bcups&amp;qid=1778622407&amp;sprefix=rek%2Bcups%2Caps%2C213&amp;sr=8-56&amp;th=1&amp;linkCode=ll2&amp;tag=mobile07ee195-20&amp;linkId=38e0541d22ba4aeb8e71ee0c38050b0a&amp;language=en_US&amp;ref_=as_li_ss_tl</x:v>
      </x:c>
      <x:c r="U57" s="14" t="str">
        <x:v>Amazon title/link supplied in uploaded file; no review claims added.</x:v>
      </x:c>
    </x:row>
  </x:sheetData>
  <x:conditionalFormatting sqref="F2:F57">
    <x:cfRule type="expression" dxfId="0" priority="1">
      <x:formula>F2="High"</x:formula>
    </x:cfRule>
    <x:cfRule type="expression" dxfId="1" priority="2">
      <x:formula>F2="Medium"</x:formula>
    </x:cfRule>
    <x:cfRule type="expression" dxfId="2" priority="3">
      <x:formula>F2="Low"</x:formula>
    </x:cfRule>
  </x:conditionalFormatting>
  <x:conditionalFormatting sqref="D2:D57">
    <x:cfRule type="expression" dxfId="3" priority="4">
      <x:formula>LEFT(D2,6)="Budget"</x:formula>
    </x:cfRule>
    <x:cfRule type="expression" dxfId="4" priority="5">
      <x:formula>LEFT(D2,7)="Premium"</x:formula>
    </x:cfRule>
  </x:conditionalFormatting>
  <x:dataValidations count="3">
    <x:dataValidation type="list" sqref="F2:F57">
      <x:formula1>"High,Medium,Low"</x:formula1>
    </x:dataValidation>
    <x:dataValidation type="list" sqref="D2:D57">
      <x:formula1>"Budget estimate,Budget-to-mid estimate,Mid estimate,Mid-to-premium estimate,Premium estimate"</x:formula1>
    </x:dataValidation>
    <x:dataValidation type="list" sqref="E2:E57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67bb85474a4c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20" hidden="0" customWidth="1"/>
    <x:col min="4" max="4" width="44" hidden="0" customWidth="1"/>
    <x:col min="5" max="5" width="14" hidden="0" customWidth="1"/>
  </x:cols>
  <x:sheetData>
    <x:row r="1">
      <x:c r="A1" s="6" t="str">
        <x:v>Main Category</x:v>
      </x:c>
      <x:c r="B1" s="6" t="str">
        <x:v>Product Count</x:v>
      </x:c>
      <x:c r="C1" s="6" t="str">
        <x:v>High Priority Count</x:v>
      </x:c>
      <x:c r="D1" s="6" t="str">
        <x:v>Suggested Primary Blog Post</x:v>
      </x:c>
      <x:c r="E1" s="6" t="str">
        <x:v>Use First?</x:v>
      </x:c>
    </x:row>
    <x:row r="2">
      <x:c r="A2" t="str">
        <x:v>Coffee Accessories</x:v>
      </x:c>
      <x:c r="B2" t="n">
        <x:f>COUNTIF('Product Planner'!B:B,A2)</x:f>
        <x:v>1</x:v>
      </x:c>
      <x:c r="C2" t="n">
        <x:f>COUNTIFS('Product Planner'!B:B,A2,'Product Planner'!F:F,"High")</x:f>
        <x:v>0</x:v>
      </x:c>
      <x:c r="D2" t="str">
        <x:v>Best Coffee Accessories for Home Coffee Bars</x:v>
      </x:c>
      <x:c r="E2" t="str">
        <x:f>IF(C2&gt;0,"Yes","Later")</x:f>
        <x:v>Later</x:v>
      </x:c>
    </x:row>
    <x:row r="3">
      <x:c r="A3" t="str">
        <x:v>Coffee Grinders</x:v>
      </x:c>
      <x:c r="B3" t="n">
        <x:f>COUNTIF('Product Planner'!B:B,A3)</x:f>
        <x:v>6</x:v>
      </x:c>
      <x:c r="C3" t="n">
        <x:f>COUNTIFS('Product Planner'!B:B,A3,'Product Planner'!F:F,"High")</x:f>
        <x:v>6</x:v>
      </x:c>
      <x:c r="D3" t="str">
        <x:v>Best Coffee Grinders for Beginners</x:v>
      </x:c>
      <x:c r="E3" t="str">
        <x:f>IF(C3&gt;0,"Yes","Later")</x:f>
        <x:v>Yes</x:v>
      </x:c>
    </x:row>
    <x:row r="4">
      <x:c r="A4" t="str">
        <x:v>Coffee Makers</x:v>
      </x:c>
      <x:c r="B4" t="n">
        <x:f>COUNTIF('Product Planner'!B:B,A4)</x:f>
        <x:v>6</x:v>
      </x:c>
      <x:c r="C4" t="n">
        <x:f>COUNTIFS('Product Planner'!B:B,A4,'Product Planner'!F:F,"High")</x:f>
        <x:v>0</x:v>
      </x:c>
      <x:c r="D4" t="str">
        <x:v>Best Coffee Makers for Small Kitchens and Daily Use</x:v>
      </x:c>
      <x:c r="E4" t="str">
        <x:f>IF(C4&gt;0,"Yes","Later")</x:f>
        <x:v>Later</x:v>
      </x:c>
    </x:row>
    <x:row r="5">
      <x:c r="A5" t="str">
        <x:v>Coffee Scales</x:v>
      </x:c>
      <x:c r="B5" t="n">
        <x:f>COUNTIF('Product Planner'!B:B,A5)</x:f>
        <x:v>3</x:v>
      </x:c>
      <x:c r="C5" t="n">
        <x:f>COUNTIFS('Product Planner'!B:B,A5,'Product Planner'!F:F,"High")</x:f>
        <x:v>3</x:v>
      </x:c>
      <x:c r="D5" t="str">
        <x:v>Best Coffee Scales for Better Home Coffee</x:v>
      </x:c>
      <x:c r="E5" t="str">
        <x:f>IF(C5&gt;0,"Yes","Later")</x:f>
        <x:v>Yes</x:v>
      </x:c>
    </x:row>
    <x:row r="6">
      <x:c r="A6" t="str">
        <x:v>Coffee Storage</x:v>
      </x:c>
      <x:c r="B6" t="n">
        <x:f>COUNTIF('Product Planner'!B:B,A6)</x:f>
        <x:v>8</x:v>
      </x:c>
      <x:c r="C6" t="n">
        <x:f>COUNTIFS('Product Planner'!B:B,A6,'Product Planner'!F:F,"High")</x:f>
        <x:v>0</x:v>
      </x:c>
      <x:c r="D6" t="str">
        <x:v>Best Coffee Storage Containers for Fresh Beans</x:v>
      </x:c>
      <x:c r="E6" t="str">
        <x:f>IF(C6&gt;0,"Yes","Later")</x:f>
        <x:v>Later</x:v>
      </x:c>
    </x:row>
    <x:row r="7">
      <x:c r="A7" t="str">
        <x:v>Cold Brew Makers</x:v>
      </x:c>
      <x:c r="B7" t="n">
        <x:f>COUNTIF('Product Planner'!B:B,A7)</x:f>
        <x:v>4</x:v>
      </x:c>
      <x:c r="C7" t="n">
        <x:f>COUNTIFS('Product Planner'!B:B,A7,'Product Planner'!F:F,"High")</x:f>
        <x:v>4</x:v>
      </x:c>
      <x:c r="D7" t="str">
        <x:v>Best Cold Brew Makers for Home</x:v>
      </x:c>
      <x:c r="E7" t="str">
        <x:f>IF(C7&gt;0,"Yes","Later")</x:f>
        <x:v>Yes</x:v>
      </x:c>
    </x:row>
    <x:row r="8">
      <x:c r="A8" t="str">
        <x:v>Espresso / Specialty Machines</x:v>
      </x:c>
      <x:c r="B8" t="n">
        <x:f>COUNTIF('Product Planner'!B:B,A8)</x:f>
        <x:v>5</x:v>
      </x:c>
      <x:c r="C8" t="n">
        <x:f>COUNTIFS('Product Planner'!B:B,A8,'Product Planner'!F:F,"High")</x:f>
        <x:v>0</x:v>
      </x:c>
      <x:c r="D8" t="str">
        <x:v>Best Beginner Espresso Machines and Specialty Coffee Makers</x:v>
      </x:c>
      <x:c r="E8" t="str">
        <x:f>IF(C8&gt;0,"Yes","Later")</x:f>
        <x:v>Later</x:v>
      </x:c>
    </x:row>
    <x:row r="9">
      <x:c r="A9" t="str">
        <x:v>Espresso Accessories</x:v>
      </x:c>
      <x:c r="B9" t="n">
        <x:f>COUNTIF('Product Planner'!B:B,A9)</x:f>
        <x:v>2</x:v>
      </x:c>
      <x:c r="C9" t="n">
        <x:f>COUNTIFS('Product Planner'!B:B,A9,'Product Planner'!F:F,"High")</x:f>
        <x:v>0</x:v>
      </x:c>
      <x:c r="D9" t="str">
        <x:v>Best Espresso Accessories for Beginners</x:v>
      </x:c>
      <x:c r="E9" t="str">
        <x:f>IF(C9&gt;0,"Yes","Later")</x:f>
        <x:v>Later</x:v>
      </x:c>
    </x:row>
    <x:row r="10">
      <x:c r="A10" t="str">
        <x:v>French Press</x:v>
      </x:c>
      <x:c r="B10" t="n">
        <x:f>COUNTIF('Product Planner'!B:B,A10)</x:f>
        <x:v>3</x:v>
      </x:c>
      <x:c r="C10" t="n">
        <x:f>COUNTIFS('Product Planner'!B:B,A10,'Product Planner'!F:F,"High")</x:f>
        <x:v>0</x:v>
      </x:c>
      <x:c r="D10" t="str">
        <x:v>Best French Press Coffee Makers</x:v>
      </x:c>
      <x:c r="E10" t="str">
        <x:f>IF(C10&gt;0,"Yes","Later")</x:f>
        <x:v>Later</x:v>
      </x:c>
    </x:row>
    <x:row r="11">
      <x:c r="A11" t="str">
        <x:v>Gooseneck Kettles</x:v>
      </x:c>
      <x:c r="B11" t="n">
        <x:f>COUNTIF('Product Planner'!B:B,A11)</x:f>
        <x:v>4</x:v>
      </x:c>
      <x:c r="C11" t="n">
        <x:f>COUNTIFS('Product Planner'!B:B,A11,'Product Planner'!F:F,"High")</x:f>
        <x:v>0</x:v>
      </x:c>
      <x:c r="D11" t="str">
        <x:v>Best Gooseneck Kettles for Pour Over Coffee</x:v>
      </x:c>
      <x:c r="E11" t="str">
        <x:f>IF(C11&gt;0,"Yes","Later")</x:f>
        <x:v>Later</x:v>
      </x:c>
    </x:row>
    <x:row r="12">
      <x:c r="A12" t="str">
        <x:v>K-Cup Accessories</x:v>
      </x:c>
      <x:c r="B12" t="n">
        <x:f>COUNTIF('Product Planner'!B:B,A12)</x:f>
        <x:v>3</x:v>
      </x:c>
      <x:c r="C12" t="n">
        <x:f>COUNTIFS('Product Planner'!B:B,A12,'Product Planner'!F:F,"High")</x:f>
        <x:v>0</x:v>
      </x:c>
      <x:c r="D12" t="str">
        <x:v>Best Reusable K-Cup Accessories</x:v>
      </x:c>
      <x:c r="E12" t="str">
        <x:f>IF(C12&gt;0,"Yes","Later")</x:f>
        <x:v>Later</x:v>
      </x:c>
    </x:row>
    <x:row r="13">
      <x:c r="A13" t="str">
        <x:v>Milk Frothers</x:v>
      </x:c>
      <x:c r="B13" t="n">
        <x:f>COUNTIF('Product Planner'!B:B,A13)</x:f>
        <x:v>5</x:v>
      </x:c>
      <x:c r="C13" t="n">
        <x:f>COUNTIFS('Product Planner'!B:B,A13,'Product Planner'!F:F,"High")</x:f>
        <x:v>5</x:v>
      </x:c>
      <x:c r="D13" t="str">
        <x:v>Best Milk Frothers for Lattes at Home</x:v>
      </x:c>
      <x:c r="E13" t="str">
        <x:f>IF(C13&gt;0,"Yes","Later")</x:f>
        <x:v>Yes</x:v>
      </x:c>
    </x:row>
    <x:row r="14">
      <x:c r="A14" t="str">
        <x:v>Pour Over</x:v>
      </x:c>
      <x:c r="B14" t="n">
        <x:f>COUNTIF('Product Planner'!B:B,A14)</x:f>
        <x:v>3</x:v>
      </x:c>
      <x:c r="C14" t="n">
        <x:f>COUNTIFS('Product Planner'!B:B,A14,'Product Planner'!F:F,"High")</x:f>
        <x:v>0</x:v>
      </x:c>
      <x:c r="D14" t="str">
        <x:v>Best Pour Over Coffee Makers and Starter Kits</x:v>
      </x:c>
      <x:c r="E14" t="str">
        <x:f>IF(C14&gt;0,"Yes","Later")</x:f>
        <x:v>Later</x:v>
      </x:c>
    </x:row>
    <x:row r="15">
      <x:c r="A15" t="str">
        <x:v>Reusable K-Cups / Single-Serve</x:v>
      </x:c>
      <x:c r="B15" t="n">
        <x:f>COUNTIF('Product Planner'!B:B,A15)</x:f>
        <x:v>3</x:v>
      </x:c>
      <x:c r="C15" t="n">
        <x:f>COUNTIFS('Product Planner'!B:B,A15,'Product Planner'!F:F,"High")</x:f>
        <x:v>3</x:v>
      </x:c>
      <x:c r="D15" t="str">
        <x:v>Best Reusable K-Cups and Metal Coffee Pods</x:v>
      </x:c>
      <x:c r="E15" t="str">
        <x:f>IF(C15&gt;0,"Yes","Later")</x:f>
        <x:v>Yes</x:v>
      </x:c>
    </x:row>
  </x:sheetData>
  <x:conditionalFormatting sqref="E2:E15">
    <x:cfRule type="expression" dxfId="5" priority="1">
      <x:formula>E2="Yes"</x:formula>
    </x:cfRule>
    <x:cfRule type="expression" dxfId="6" priority="2">
      <x:formula>E2="Later"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52e3b8b9ce4f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Brew Better Daily Affiliate Product Planner</x:v>
      </x:c>
      <x:c r="B1" s="4"/>
    </x:row>
    <x:row r="2">
      <x:c r="A2" t="str">
        <x:v>Created</x:v>
      </x:c>
      <x:c r="B2" t="str">
        <x:v>2026-05-13</x:v>
      </x:c>
    </x:row>
    <x:row r="3">
      <x:c r="A3" t="str">
        <x:v>Source</x:v>
      </x:c>
      <x:c r="B3" t="str">
        <x:v>Built from your uploaded Amazon affiliate links and Amazon item titles.</x:v>
      </x:c>
    </x:row>
    <x:row r="4">
      <x:c r="A4" t="str">
        <x:v>Important</x:v>
      </x:c>
      <x:c r="B4" t="str">
        <x:v>Price tiers are estimates from product type, brand, and feature complexity. Verify actual Amazon price before publishing.</x:v>
      </x:c>
    </x:row>
    <x:row r="5">
      <x:c r="A5" t="str">
        <x:v>Important</x:v>
      </x:c>
      <x:c r="B5" t="str">
        <x:v>I did not add review-based claims because reviews were not included in the uploaded file. Add only verified review takeaways later.</x:v>
      </x:c>
    </x:row>
    <x:row r="6">
      <x:c r="A6" t="str">
        <x:v>Important</x:v>
      </x:c>
      <x:c r="B6" t="str">
        <x:v>Avoid manually publishing Amazon prices unless you are using approved Amazon/AffiliateX/API output.</x:v>
      </x:c>
    </x:row>
    <x:row r="7">
      <x:c r="A7" t="str">
        <x:v>How to use</x:v>
      </x:c>
      <x:c r="B7" t="str">
        <x:v>Filter Product Planner by Main Category, Priority, or Suggested Blog Post.</x:v>
      </x:c>
    </x:row>
    <x:row r="8">
      <x:c r="A8" t="str">
        <x:v>How to use</x:v>
      </x:c>
      <x:c r="B8" t="str">
        <x:v>Use Suggested AffiliateX Display Name + Short Affiliate Link when making AffiliateX blocks.</x:v>
      </x:c>
    </x:row>
    <x:row r="9">
      <x:c r="A9" t="str">
        <x:v>How to use</x:v>
      </x:c>
      <x:c r="B9" t="str">
        <x:v>Use Key Identifiers / Features from Title as the safe starter copy for product cards.</x:v>
      </x:c>
    </x:row>
    <x:row r="10">
      <x:c r="A10" t="str">
        <x:v>How to use</x:v>
      </x:c>
      <x:c r="B10" t="str">
        <x:v>Use Cautions / Verify Before Publishing as your checklist before putting claims in a blog post.</x:v>
      </x:c>
    </x:row>
  </x:sheetData>
  <x:pageMargins left="0.7" right="0.7" top="0.75" bottom="0.75" header="0.3" footer="0.3"/>
</x:worksheet>
</file>